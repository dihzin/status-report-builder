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tratesystechnology.sharepoint.com/sites/GlobalCoEProcurement/Shared Documents/ISBN PROJECTS/LAC/EDFP1 - 106024.1.1 Imp. Ariba Strategic Sou e Net/06. MANAGEMENT/08. Risks e Issues/"/>
    </mc:Choice>
  </mc:AlternateContent>
  <xr:revisionPtr revIDLastSave="92" documentId="8_{1EFC8B1F-8E34-44D6-B5D1-4ED47D86F752}" xr6:coauthVersionLast="47" xr6:coauthVersionMax="47" xr10:uidLastSave="{FF1BC36A-1F48-41A6-8751-35ECBD62A9A1}"/>
  <bookViews>
    <workbookView xWindow="28680" yWindow="-120" windowWidth="29040" windowHeight="15720" tabRatio="799" activeTab="2" xr2:uid="{00000000-000D-0000-FFFF-FFFF00000000}"/>
  </bookViews>
  <sheets>
    <sheet name="Guide" sheetId="7" r:id="rId1"/>
    <sheet name="Dashboard" sheetId="1" r:id="rId2"/>
    <sheet name="Risks" sheetId="2" r:id="rId3"/>
    <sheet name="Actions" sheetId="3" r:id="rId4"/>
    <sheet name="Issues" sheetId="5" r:id="rId5"/>
    <sheet name="Decisions" sheetId="6" r:id="rId6"/>
    <sheet name="Config" sheetId="4" r:id="rId7"/>
    <sheet name="Search" sheetId="8" state="hidden" r:id="rId8"/>
  </sheets>
  <definedNames>
    <definedName name="_xleta.COUNTA" hidden="1" xlm="1">#NAME?</definedName>
    <definedName name="_xleta.DATE" hidden="1" xlm="1">#NAME?</definedName>
    <definedName name="_xlpm.all_days" hidden="1" xlm="1">#NAME?</definedName>
    <definedName name="_xlpm.all_desc" hidden="1" xlm="1">#NAME?</definedName>
    <definedName name="_xlpm.all_id" hidden="1" xlm="1">#NAME?</definedName>
    <definedName name="_xlpm.all_own" hidden="1" xlm="1">#NAME?</definedName>
    <definedName name="_xlpm.all_pri" hidden="1" xlm="1">#NAME?</definedName>
    <definedName name="_xlpm.all_stat" hidden="1" xlm="1">#NAME?</definedName>
    <definedName name="_xlpm.all_type" hidden="1" xlm="1">#NAME?</definedName>
    <definedName name="_xlpm.f_days" hidden="1" xlm="1">#NAME?</definedName>
    <definedName name="_xlpm.f_pri" hidden="1" xlm="1">#NAME?</definedName>
    <definedName name="_xlpm.filtered" hidden="1" xlm="1">#NAME?</definedName>
    <definedName name="_xlpm.i_days" hidden="1" xlm="1">#NAME?</definedName>
    <definedName name="_xlpm.i_desc" hidden="1" xlm="1">#NAME?</definedName>
    <definedName name="_xlpm.i_id" hidden="1" xlm="1">#NAME?</definedName>
    <definedName name="_xlpm.i_own" hidden="1" xlm="1">#NAME?</definedName>
    <definedName name="_xlpm.i_pri" hidden="1" xlm="1">#NAME?</definedName>
    <definedName name="_xlpm.i_stat" hidden="1" xlm="1">#NAME?</definedName>
    <definedName name="_xlpm.i_type" hidden="1" xlm="1">#NAME?</definedName>
    <definedName name="_xlpm.mask" hidden="1" xlm="1">#NAME?</definedName>
    <definedName name="_xlpm.pri_val" hidden="1" xlm="1">#NAME?</definedName>
    <definedName name="_xlpm.r_days" hidden="1" xlm="1">#NAME?</definedName>
    <definedName name="_xlpm.r_desc" hidden="1" xlm="1">#NAME?</definedName>
    <definedName name="_xlpm.r_id" hidden="1" xlm="1">#NAME?</definedName>
    <definedName name="_xlpm.r_own" hidden="1" xlm="1">#NAME?</definedName>
    <definedName name="_xlpm.r_pri" hidden="1" xlm="1">#NAME?</definedName>
    <definedName name="_xlpm.r_stat" hidden="1" xlm="1">#NAME?</definedName>
    <definedName name="_xlpm.r_type" hidden="1" xlm="1">#NAME?</definedName>
    <definedName name="_xlpm.sorted" hidden="1" xlm="1">#NAME?</definedName>
    <definedName name="Action_D">Search!$AD$2:$AD$151</definedName>
    <definedName name="Action_D_ID">Search!$AE$2:$AE$151</definedName>
    <definedName name="Action_I">Search!$X$2:$X$151</definedName>
    <definedName name="Action_I_ID">Search!$Y$2:$Y$151</definedName>
    <definedName name="Decision_A">Search!$AV$2:$AV$151</definedName>
    <definedName name="Decision_A_ID">Search!$AW$2:$AW$151</definedName>
    <definedName name="Decision_I">Search!$BB$2:$BB$151</definedName>
    <definedName name="Decision_I_ID">Search!$BC$2:$BC$151</definedName>
    <definedName name="Issue_A">Search!$AJ$2:$AJ$151</definedName>
    <definedName name="Issue_A_ID">Search!$AK$2:$AK$151</definedName>
    <definedName name="Issue_D">Search!$AP$2:$AP$151</definedName>
    <definedName name="Issue_D_ID">Search!$AQ$2:$AQ$151</definedName>
    <definedName name="Priorities">#REF!</definedName>
    <definedName name="Priority">#REF!</definedName>
    <definedName name="RAID_IDs">"Config!$S$2:$S$601"</definedName>
    <definedName name="Risk_A">Search!$F$2:$F$151</definedName>
    <definedName name="Risk_A_ID">Search!$G$2:$G$151</definedName>
    <definedName name="Risk_D">Search!$R$2:$R$151</definedName>
    <definedName name="Risk_D_ID">Search!$S$2:$S$151</definedName>
    <definedName name="Risk_I">Search!$L$2:$L$151</definedName>
    <definedName name="Risk_I_ID">Search!$M$2:$M$151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/>
  <c r="D4" i="3"/>
  <c r="B6" i="2"/>
  <c r="B10" i="2"/>
  <c r="B9" i="2"/>
  <c r="B8" i="2"/>
  <c r="B7" i="2"/>
  <c r="B15" i="2"/>
  <c r="B16" i="2"/>
  <c r="B17" i="2"/>
  <c r="B18" i="2"/>
  <c r="B19" i="2"/>
  <c r="B20" i="2"/>
  <c r="B21" i="2"/>
  <c r="B11" i="2"/>
  <c r="B12" i="2"/>
  <c r="B13" i="2"/>
  <c r="B14" i="2"/>
  <c r="AZ2" i="8"/>
  <c r="AZ3" i="8"/>
  <c r="AZ4" i="8"/>
  <c r="AY4" i="8"/>
  <c r="AZ5" i="8"/>
  <c r="AY5" i="8"/>
  <c r="BA151" i="8"/>
  <c r="AZ151" i="8"/>
  <c r="AY151" i="8"/>
  <c r="BA150" i="8"/>
  <c r="AZ150" i="8"/>
  <c r="BA149" i="8"/>
  <c r="AZ149" i="8"/>
  <c r="AY149" i="8"/>
  <c r="BA148" i="8"/>
  <c r="AZ148" i="8"/>
  <c r="AY148" i="8"/>
  <c r="BA147" i="8"/>
  <c r="AZ147" i="8"/>
  <c r="AY147" i="8"/>
  <c r="BA146" i="8"/>
  <c r="AZ146" i="8"/>
  <c r="AY146" i="8"/>
  <c r="BA145" i="8"/>
  <c r="AZ145" i="8"/>
  <c r="AY145" i="8"/>
  <c r="BA144" i="8"/>
  <c r="AZ144" i="8"/>
  <c r="AY144" i="8"/>
  <c r="BA143" i="8"/>
  <c r="AZ143" i="8"/>
  <c r="AY143" i="8"/>
  <c r="BA142" i="8"/>
  <c r="AZ142" i="8"/>
  <c r="BA141" i="8"/>
  <c r="AZ141" i="8"/>
  <c r="BA140" i="8"/>
  <c r="AZ140" i="8"/>
  <c r="BA139" i="8"/>
  <c r="AZ139" i="8"/>
  <c r="BA138" i="8"/>
  <c r="AZ138" i="8"/>
  <c r="BA137" i="8"/>
  <c r="AZ137" i="8"/>
  <c r="AY137" i="8"/>
  <c r="BA136" i="8"/>
  <c r="AZ136" i="8"/>
  <c r="BA135" i="8"/>
  <c r="AZ135" i="8"/>
  <c r="AY135" i="8"/>
  <c r="BA134" i="8"/>
  <c r="AZ134" i="8"/>
  <c r="AY134" i="8"/>
  <c r="BA133" i="8"/>
  <c r="AZ133" i="8"/>
  <c r="BA132" i="8"/>
  <c r="AZ132" i="8"/>
  <c r="BA131" i="8"/>
  <c r="AZ131" i="8"/>
  <c r="AY131" i="8"/>
  <c r="BA130" i="8"/>
  <c r="AZ130" i="8"/>
  <c r="BA129" i="8"/>
  <c r="AZ129" i="8"/>
  <c r="AY129" i="8"/>
  <c r="BA128" i="8"/>
  <c r="AZ128" i="8"/>
  <c r="AY128" i="8"/>
  <c r="BA127" i="8"/>
  <c r="AZ127" i="8"/>
  <c r="AY127" i="8"/>
  <c r="BA126" i="8"/>
  <c r="AZ126" i="8"/>
  <c r="BA125" i="8"/>
  <c r="AZ125" i="8"/>
  <c r="BA124" i="8"/>
  <c r="AZ124" i="8"/>
  <c r="BA123" i="8"/>
  <c r="AZ123" i="8"/>
  <c r="AY123" i="8"/>
  <c r="BA122" i="8"/>
  <c r="AZ122" i="8"/>
  <c r="AY122" i="8"/>
  <c r="BA121" i="8"/>
  <c r="AZ121" i="8"/>
  <c r="BA120" i="8"/>
  <c r="AZ120" i="8"/>
  <c r="BA119" i="8"/>
  <c r="AZ119" i="8"/>
  <c r="BA118" i="8"/>
  <c r="AZ118" i="8"/>
  <c r="AY118" i="8"/>
  <c r="BA117" i="8"/>
  <c r="AZ117" i="8"/>
  <c r="BA116" i="8"/>
  <c r="AZ116" i="8"/>
  <c r="BA115" i="8"/>
  <c r="AZ115" i="8"/>
  <c r="AY115" i="8"/>
  <c r="BA114" i="8"/>
  <c r="AZ114" i="8"/>
  <c r="AY114" i="8"/>
  <c r="BA113" i="8"/>
  <c r="AZ113" i="8"/>
  <c r="BA112" i="8"/>
  <c r="AZ112" i="8"/>
  <c r="BA111" i="8"/>
  <c r="AZ111" i="8"/>
  <c r="BA110" i="8"/>
  <c r="AZ110" i="8"/>
  <c r="BA109" i="8"/>
  <c r="AZ109" i="8"/>
  <c r="BA108" i="8"/>
  <c r="AZ108" i="8"/>
  <c r="BA107" i="8"/>
  <c r="AZ107" i="8"/>
  <c r="BA106" i="8"/>
  <c r="AZ106" i="8"/>
  <c r="BA105" i="8"/>
  <c r="AZ105" i="8"/>
  <c r="AY105" i="8"/>
  <c r="BA104" i="8"/>
  <c r="AZ104" i="8"/>
  <c r="AY104" i="8"/>
  <c r="BA103" i="8"/>
  <c r="AZ103" i="8"/>
  <c r="BA102" i="8"/>
  <c r="AZ102" i="8"/>
  <c r="AY102" i="8"/>
  <c r="BA101" i="8"/>
  <c r="AZ101" i="8"/>
  <c r="BA100" i="8"/>
  <c r="AZ100" i="8"/>
  <c r="AY100" i="8"/>
  <c r="BA99" i="8"/>
  <c r="AZ99" i="8"/>
  <c r="AY99" i="8"/>
  <c r="BA98" i="8"/>
  <c r="AZ98" i="8"/>
  <c r="AY98" i="8"/>
  <c r="BA97" i="8"/>
  <c r="AZ97" i="8"/>
  <c r="AY97" i="8"/>
  <c r="BA96" i="8"/>
  <c r="AZ96" i="8"/>
  <c r="AY96" i="8"/>
  <c r="BA95" i="8"/>
  <c r="AZ95" i="8"/>
  <c r="AY95" i="8"/>
  <c r="BA94" i="8"/>
  <c r="AZ94" i="8"/>
  <c r="AY94" i="8"/>
  <c r="BA93" i="8"/>
  <c r="AZ93" i="8"/>
  <c r="AY93" i="8"/>
  <c r="BA92" i="8"/>
  <c r="AZ92" i="8"/>
  <c r="AY92" i="8"/>
  <c r="BA91" i="8"/>
  <c r="AZ91" i="8"/>
  <c r="BA90" i="8"/>
  <c r="AZ90" i="8"/>
  <c r="BA89" i="8"/>
  <c r="AZ89" i="8"/>
  <c r="AY89" i="8"/>
  <c r="BA88" i="8"/>
  <c r="AZ88" i="8"/>
  <c r="AY88" i="8"/>
  <c r="BA87" i="8"/>
  <c r="AZ87" i="8"/>
  <c r="AY87" i="8"/>
  <c r="BA86" i="8"/>
  <c r="AZ86" i="8"/>
  <c r="AY86" i="8"/>
  <c r="BA85" i="8"/>
  <c r="AZ85" i="8"/>
  <c r="AY85" i="8"/>
  <c r="BA84" i="8"/>
  <c r="AZ84" i="8"/>
  <c r="AY84" i="8"/>
  <c r="BA83" i="8"/>
  <c r="AZ83" i="8"/>
  <c r="AY83" i="8"/>
  <c r="BA82" i="8"/>
  <c r="AZ82" i="8"/>
  <c r="BA81" i="8"/>
  <c r="AZ81" i="8"/>
  <c r="BA80" i="8"/>
  <c r="AZ80" i="8"/>
  <c r="BA79" i="8"/>
  <c r="AZ79" i="8"/>
  <c r="BA78" i="8"/>
  <c r="AZ78" i="8"/>
  <c r="BA77" i="8"/>
  <c r="AZ77" i="8"/>
  <c r="BA76" i="8"/>
  <c r="AZ76" i="8"/>
  <c r="AY76" i="8"/>
  <c r="BA75" i="8"/>
  <c r="AZ75" i="8"/>
  <c r="BA74" i="8"/>
  <c r="AZ74" i="8"/>
  <c r="AY74" i="8"/>
  <c r="BA73" i="8"/>
  <c r="AZ73" i="8"/>
  <c r="AY73" i="8"/>
  <c r="BA72" i="8"/>
  <c r="AZ72" i="8"/>
  <c r="BA71" i="8"/>
  <c r="AZ71" i="8"/>
  <c r="BA70" i="8"/>
  <c r="AZ70" i="8"/>
  <c r="AY70" i="8"/>
  <c r="BA69" i="8"/>
  <c r="AZ69" i="8"/>
  <c r="AY69" i="8"/>
  <c r="BA68" i="8"/>
  <c r="AZ68" i="8"/>
  <c r="AY68" i="8"/>
  <c r="BA67" i="8"/>
  <c r="AZ67" i="8"/>
  <c r="BA66" i="8"/>
  <c r="AZ66" i="8"/>
  <c r="BA65" i="8"/>
  <c r="AZ65" i="8"/>
  <c r="BA64" i="8"/>
  <c r="AZ64" i="8"/>
  <c r="AY64" i="8"/>
  <c r="BA63" i="8"/>
  <c r="AZ63" i="8"/>
  <c r="AY63" i="8"/>
  <c r="BA62" i="8"/>
  <c r="AZ62" i="8"/>
  <c r="AY62" i="8"/>
  <c r="BA61" i="8"/>
  <c r="AZ61" i="8"/>
  <c r="AY61" i="8"/>
  <c r="BA60" i="8"/>
  <c r="AZ60" i="8"/>
  <c r="BA59" i="8"/>
  <c r="AZ59" i="8"/>
  <c r="AY59" i="8"/>
  <c r="BA58" i="8"/>
  <c r="AZ58" i="8"/>
  <c r="BA57" i="8"/>
  <c r="AZ57" i="8"/>
  <c r="BA56" i="8"/>
  <c r="AZ56" i="8"/>
  <c r="BA55" i="8"/>
  <c r="AZ55" i="8"/>
  <c r="AY55" i="8"/>
  <c r="BA54" i="8"/>
  <c r="AZ54" i="8"/>
  <c r="BA53" i="8"/>
  <c r="AZ53" i="8"/>
  <c r="BA52" i="8"/>
  <c r="AZ52" i="8"/>
  <c r="BA51" i="8"/>
  <c r="AZ51" i="8"/>
  <c r="BA50" i="8"/>
  <c r="AZ50" i="8"/>
  <c r="BA49" i="8"/>
  <c r="AZ49" i="8"/>
  <c r="AY49" i="8"/>
  <c r="BA48" i="8"/>
  <c r="AZ48" i="8"/>
  <c r="AY48" i="8"/>
  <c r="BA47" i="8"/>
  <c r="AZ47" i="8"/>
  <c r="BA46" i="8"/>
  <c r="AZ46" i="8"/>
  <c r="BA45" i="8"/>
  <c r="AZ45" i="8"/>
  <c r="BA44" i="8"/>
  <c r="AZ44" i="8"/>
  <c r="BA43" i="8"/>
  <c r="AZ43" i="8"/>
  <c r="AY43" i="8"/>
  <c r="BA42" i="8"/>
  <c r="AZ42" i="8"/>
  <c r="BA41" i="8"/>
  <c r="AZ41" i="8"/>
  <c r="BA40" i="8"/>
  <c r="AZ40" i="8"/>
  <c r="BA39" i="8"/>
  <c r="AZ39" i="8"/>
  <c r="AY39" i="8"/>
  <c r="BA38" i="8"/>
  <c r="AZ38" i="8"/>
  <c r="AY38" i="8"/>
  <c r="BA37" i="8"/>
  <c r="AZ37" i="8"/>
  <c r="BA36" i="8"/>
  <c r="AZ36" i="8"/>
  <c r="AY36" i="8"/>
  <c r="BA35" i="8"/>
  <c r="AZ35" i="8"/>
  <c r="AY35" i="8"/>
  <c r="BA34" i="8"/>
  <c r="AZ34" i="8"/>
  <c r="BA33" i="8"/>
  <c r="AZ33" i="8"/>
  <c r="AY33" i="8"/>
  <c r="BA32" i="8"/>
  <c r="AZ32" i="8"/>
  <c r="AY32" i="8"/>
  <c r="BA31" i="8"/>
  <c r="AZ31" i="8"/>
  <c r="AY31" i="8"/>
  <c r="BA30" i="8"/>
  <c r="AZ30" i="8"/>
  <c r="AY30" i="8"/>
  <c r="BA29" i="8"/>
  <c r="AZ29" i="8"/>
  <c r="AY29" i="8"/>
  <c r="BA28" i="8"/>
  <c r="AZ28" i="8"/>
  <c r="BA27" i="8"/>
  <c r="AZ27" i="8"/>
  <c r="BA26" i="8"/>
  <c r="AZ26" i="8"/>
  <c r="AY26" i="8"/>
  <c r="BA25" i="8"/>
  <c r="AZ25" i="8"/>
  <c r="AY25" i="8"/>
  <c r="BA24" i="8"/>
  <c r="AZ24" i="8"/>
  <c r="BA23" i="8"/>
  <c r="AZ23" i="8"/>
  <c r="BA22" i="8"/>
  <c r="AZ22" i="8"/>
  <c r="BA21" i="8"/>
  <c r="AZ21" i="8"/>
  <c r="AY21" i="8"/>
  <c r="BA20" i="8"/>
  <c r="AZ20" i="8"/>
  <c r="AY20" i="8"/>
  <c r="BA19" i="8"/>
  <c r="AZ19" i="8"/>
  <c r="BA18" i="8"/>
  <c r="AZ18" i="8"/>
  <c r="AY18" i="8"/>
  <c r="BA17" i="8"/>
  <c r="AZ17" i="8"/>
  <c r="AY17" i="8"/>
  <c r="BA16" i="8"/>
  <c r="AZ16" i="8"/>
  <c r="BA15" i="8"/>
  <c r="AZ15" i="8"/>
  <c r="BA14" i="8"/>
  <c r="AZ14" i="8"/>
  <c r="AY14" i="8"/>
  <c r="BA13" i="8"/>
  <c r="AZ13" i="8"/>
  <c r="AY13" i="8"/>
  <c r="BA12" i="8"/>
  <c r="AZ12" i="8"/>
  <c r="BA11" i="8"/>
  <c r="AZ11" i="8"/>
  <c r="BA10" i="8"/>
  <c r="AZ10" i="8"/>
  <c r="BA9" i="8"/>
  <c r="AZ9" i="8"/>
  <c r="AY9" i="8"/>
  <c r="BA8" i="8"/>
  <c r="AZ8" i="8"/>
  <c r="AY8" i="8"/>
  <c r="BA7" i="8"/>
  <c r="AZ7" i="8"/>
  <c r="BA6" i="8"/>
  <c r="AZ6" i="8"/>
  <c r="AY6" i="8"/>
  <c r="BA5" i="8"/>
  <c r="BA4" i="8"/>
  <c r="BA3" i="8"/>
  <c r="BA2" i="8"/>
  <c r="AT2" i="8"/>
  <c r="AT3" i="8"/>
  <c r="AT4" i="8"/>
  <c r="AT5" i="8"/>
  <c r="AS5" i="8"/>
  <c r="AU151" i="8"/>
  <c r="AT151" i="8"/>
  <c r="AS151" i="8"/>
  <c r="AU150" i="8"/>
  <c r="AT150" i="8"/>
  <c r="AS150" i="8"/>
  <c r="AU149" i="8"/>
  <c r="AT149" i="8"/>
  <c r="AS149" i="8"/>
  <c r="AU148" i="8"/>
  <c r="AT148" i="8"/>
  <c r="AU147" i="8"/>
  <c r="AT147" i="8"/>
  <c r="AU146" i="8"/>
  <c r="AT146" i="8"/>
  <c r="AS146" i="8"/>
  <c r="AU145" i="8"/>
  <c r="AT145" i="8"/>
  <c r="AU144" i="8"/>
  <c r="AT144" i="8"/>
  <c r="AU143" i="8"/>
  <c r="AT143" i="8"/>
  <c r="AS143" i="8"/>
  <c r="AU142" i="8"/>
  <c r="AT142" i="8"/>
  <c r="AS142" i="8"/>
  <c r="AU141" i="8"/>
  <c r="AT141" i="8"/>
  <c r="AS141" i="8"/>
  <c r="AU140" i="8"/>
  <c r="AT140" i="8"/>
  <c r="AU139" i="8"/>
  <c r="AT139" i="8"/>
  <c r="AU138" i="8"/>
  <c r="AT138" i="8"/>
  <c r="AU137" i="8"/>
  <c r="AT137" i="8"/>
  <c r="AS137" i="8"/>
  <c r="AU136" i="8"/>
  <c r="AT136" i="8"/>
  <c r="AS136" i="8"/>
  <c r="AU135" i="8"/>
  <c r="AT135" i="8"/>
  <c r="AU134" i="8"/>
  <c r="AT134" i="8"/>
  <c r="AU133" i="8"/>
  <c r="AT133" i="8"/>
  <c r="AS133" i="8"/>
  <c r="AU132" i="8"/>
  <c r="AT132" i="8"/>
  <c r="AU131" i="8"/>
  <c r="AT131" i="8"/>
  <c r="AU130" i="8"/>
  <c r="AT130" i="8"/>
  <c r="AU129" i="8"/>
  <c r="AT129" i="8"/>
  <c r="AU128" i="8"/>
  <c r="AT128" i="8"/>
  <c r="AU127" i="8"/>
  <c r="AT127" i="8"/>
  <c r="AU126" i="8"/>
  <c r="AT126" i="8"/>
  <c r="AU125" i="8"/>
  <c r="AT125" i="8"/>
  <c r="AU124" i="8"/>
  <c r="AT124" i="8"/>
  <c r="AU123" i="8"/>
  <c r="AT123" i="8"/>
  <c r="AS123" i="8"/>
  <c r="AU122" i="8"/>
  <c r="AT122" i="8"/>
  <c r="AU121" i="8"/>
  <c r="AT121" i="8"/>
  <c r="AU120" i="8"/>
  <c r="AT120" i="8"/>
  <c r="AU119" i="8"/>
  <c r="AT119" i="8"/>
  <c r="AU118" i="8"/>
  <c r="AT118" i="8"/>
  <c r="AU117" i="8"/>
  <c r="AT117" i="8"/>
  <c r="AU116" i="8"/>
  <c r="AT116" i="8"/>
  <c r="AU115" i="8"/>
  <c r="AT115" i="8"/>
  <c r="AU114" i="8"/>
  <c r="AT114" i="8"/>
  <c r="AU113" i="8"/>
  <c r="AT113" i="8"/>
  <c r="AU112" i="8"/>
  <c r="AT112" i="8"/>
  <c r="AU111" i="8"/>
  <c r="AT111" i="8"/>
  <c r="AS111" i="8"/>
  <c r="AU110" i="8"/>
  <c r="AT110" i="8"/>
  <c r="AU109" i="8"/>
  <c r="AT109" i="8"/>
  <c r="AU108" i="8"/>
  <c r="AT108" i="8"/>
  <c r="AU107" i="8"/>
  <c r="AT107" i="8"/>
  <c r="AU106" i="8"/>
  <c r="AT106" i="8"/>
  <c r="AU105" i="8"/>
  <c r="AT105" i="8"/>
  <c r="AU104" i="8"/>
  <c r="AT104" i="8"/>
  <c r="AU103" i="8"/>
  <c r="AT103" i="8"/>
  <c r="AU102" i="8"/>
  <c r="AT102" i="8"/>
  <c r="AS102" i="8"/>
  <c r="AU101" i="8"/>
  <c r="AT101" i="8"/>
  <c r="AU100" i="8"/>
  <c r="AT100" i="8"/>
  <c r="AU99" i="8"/>
  <c r="AT99" i="8"/>
  <c r="AS99" i="8"/>
  <c r="AU98" i="8"/>
  <c r="AT98" i="8"/>
  <c r="AU97" i="8"/>
  <c r="AT97" i="8"/>
  <c r="AU96" i="8"/>
  <c r="AT96" i="8"/>
  <c r="AU95" i="8"/>
  <c r="AT95" i="8"/>
  <c r="AU94" i="8"/>
  <c r="AT94" i="8"/>
  <c r="AU93" i="8"/>
  <c r="AT93" i="8"/>
  <c r="AU92" i="8"/>
  <c r="AT92" i="8"/>
  <c r="AU91" i="8"/>
  <c r="AT91" i="8"/>
  <c r="AS91" i="8"/>
  <c r="AU90" i="8"/>
  <c r="AT90" i="8"/>
  <c r="AU89" i="8"/>
  <c r="AT89" i="8"/>
  <c r="AU88" i="8"/>
  <c r="AT88" i="8"/>
  <c r="AS88" i="8"/>
  <c r="AU87" i="8"/>
  <c r="AT87" i="8"/>
  <c r="AU86" i="8"/>
  <c r="AT86" i="8"/>
  <c r="AU85" i="8"/>
  <c r="AT85" i="8"/>
  <c r="AU84" i="8"/>
  <c r="AT84" i="8"/>
  <c r="AU83" i="8"/>
  <c r="AT83" i="8"/>
  <c r="AU82" i="8"/>
  <c r="AT82" i="8"/>
  <c r="AS82" i="8"/>
  <c r="AU81" i="8"/>
  <c r="AT81" i="8"/>
  <c r="AS81" i="8"/>
  <c r="AU80" i="8"/>
  <c r="AT80" i="8"/>
  <c r="AU79" i="8"/>
  <c r="AT79" i="8"/>
  <c r="AU78" i="8"/>
  <c r="AT78" i="8"/>
  <c r="AU77" i="8"/>
  <c r="AT77" i="8"/>
  <c r="AU76" i="8"/>
  <c r="AT76" i="8"/>
  <c r="AS76" i="8"/>
  <c r="AU75" i="8"/>
  <c r="AT75" i="8"/>
  <c r="AU74" i="8"/>
  <c r="AT74" i="8"/>
  <c r="AU73" i="8"/>
  <c r="AT73" i="8"/>
  <c r="AU72" i="8"/>
  <c r="AT72" i="8"/>
  <c r="AS72" i="8"/>
  <c r="AU71" i="8"/>
  <c r="AT71" i="8"/>
  <c r="AU70" i="8"/>
  <c r="AT70" i="8"/>
  <c r="AU69" i="8"/>
  <c r="AT69" i="8"/>
  <c r="AU68" i="8"/>
  <c r="AT68" i="8"/>
  <c r="AU67" i="8"/>
  <c r="AT67" i="8"/>
  <c r="AU66" i="8"/>
  <c r="AT66" i="8"/>
  <c r="AU65" i="8"/>
  <c r="AT65" i="8"/>
  <c r="AU64" i="8"/>
  <c r="AT64" i="8"/>
  <c r="AU63" i="8"/>
  <c r="AT63" i="8"/>
  <c r="AU62" i="8"/>
  <c r="AT62" i="8"/>
  <c r="AS62" i="8"/>
  <c r="AU61" i="8"/>
  <c r="AT61" i="8"/>
  <c r="AU60" i="8"/>
  <c r="AT60" i="8"/>
  <c r="AS60" i="8"/>
  <c r="AU59" i="8"/>
  <c r="AT59" i="8"/>
  <c r="AU58" i="8"/>
  <c r="AT58" i="8"/>
  <c r="AS58" i="8"/>
  <c r="AU57" i="8"/>
  <c r="AT57" i="8"/>
  <c r="AU56" i="8"/>
  <c r="AT56" i="8"/>
  <c r="AU55" i="8"/>
  <c r="AT55" i="8"/>
  <c r="AU54" i="8"/>
  <c r="AT54" i="8"/>
  <c r="AU53" i="8"/>
  <c r="AT53" i="8"/>
  <c r="AU52" i="8"/>
  <c r="AT52" i="8"/>
  <c r="AU51" i="8"/>
  <c r="AT51" i="8"/>
  <c r="AU50" i="8"/>
  <c r="AT50" i="8"/>
  <c r="AU49" i="8"/>
  <c r="AT49" i="8"/>
  <c r="AU48" i="8"/>
  <c r="AT48" i="8"/>
  <c r="AU47" i="8"/>
  <c r="AT47" i="8"/>
  <c r="AU46" i="8"/>
  <c r="AT46" i="8"/>
  <c r="AS46" i="8"/>
  <c r="AU45" i="8"/>
  <c r="AT45" i="8"/>
  <c r="AU44" i="8"/>
  <c r="AT44" i="8"/>
  <c r="AU43" i="8"/>
  <c r="AT43" i="8"/>
  <c r="AU42" i="8"/>
  <c r="AT42" i="8"/>
  <c r="AU41" i="8"/>
  <c r="AT41" i="8"/>
  <c r="AS41" i="8"/>
  <c r="AU40" i="8"/>
  <c r="AT40" i="8"/>
  <c r="AU39" i="8"/>
  <c r="AT39" i="8"/>
  <c r="AU38" i="8"/>
  <c r="AT38" i="8"/>
  <c r="AU37" i="8"/>
  <c r="AT37" i="8"/>
  <c r="AU36" i="8"/>
  <c r="AT36" i="8"/>
  <c r="AU35" i="8"/>
  <c r="AT35" i="8"/>
  <c r="AU34" i="8"/>
  <c r="AT34" i="8"/>
  <c r="AU33" i="8"/>
  <c r="AT33" i="8"/>
  <c r="AU32" i="8"/>
  <c r="AT32" i="8"/>
  <c r="AU31" i="8"/>
  <c r="AT31" i="8"/>
  <c r="AU30" i="8"/>
  <c r="AT30" i="8"/>
  <c r="AU29" i="8"/>
  <c r="AT29" i="8"/>
  <c r="AU28" i="8"/>
  <c r="AT28" i="8"/>
  <c r="AU27" i="8"/>
  <c r="AT27" i="8"/>
  <c r="AU26" i="8"/>
  <c r="AT26" i="8"/>
  <c r="AU25" i="8"/>
  <c r="AT25" i="8"/>
  <c r="AU24" i="8"/>
  <c r="AT24" i="8"/>
  <c r="AU23" i="8"/>
  <c r="AT23" i="8"/>
  <c r="AU22" i="8"/>
  <c r="AT22" i="8"/>
  <c r="AU21" i="8"/>
  <c r="AT21" i="8"/>
  <c r="AU20" i="8"/>
  <c r="AT20" i="8"/>
  <c r="AU19" i="8"/>
  <c r="AT19" i="8"/>
  <c r="AU18" i="8"/>
  <c r="AT18" i="8"/>
  <c r="AU17" i="8"/>
  <c r="AT17" i="8"/>
  <c r="AU16" i="8"/>
  <c r="AT16" i="8"/>
  <c r="AU15" i="8"/>
  <c r="AT15" i="8"/>
  <c r="AU14" i="8"/>
  <c r="AT14" i="8"/>
  <c r="AU13" i="8"/>
  <c r="AT13" i="8"/>
  <c r="AU12" i="8"/>
  <c r="AT12" i="8"/>
  <c r="AU11" i="8"/>
  <c r="AT11" i="8"/>
  <c r="AU10" i="8"/>
  <c r="AT10" i="8"/>
  <c r="AU9" i="8"/>
  <c r="AT9" i="8"/>
  <c r="AU8" i="8"/>
  <c r="AT8" i="8"/>
  <c r="AU7" i="8"/>
  <c r="AT7" i="8"/>
  <c r="AU6" i="8"/>
  <c r="AT6" i="8"/>
  <c r="AU5" i="8"/>
  <c r="AU4" i="8"/>
  <c r="AU3" i="8"/>
  <c r="AU2" i="8"/>
  <c r="AN2" i="8"/>
  <c r="AM2" i="8"/>
  <c r="AN3" i="8"/>
  <c r="AN4" i="8"/>
  <c r="AN5" i="8"/>
  <c r="AO151" i="8"/>
  <c r="AN151" i="8"/>
  <c r="AO150" i="8"/>
  <c r="AN150" i="8"/>
  <c r="AO149" i="8"/>
  <c r="AN149" i="8"/>
  <c r="AO148" i="8"/>
  <c r="AN148" i="8"/>
  <c r="AO147" i="8"/>
  <c r="AN147" i="8"/>
  <c r="AM147" i="8"/>
  <c r="AO146" i="8"/>
  <c r="AN146" i="8"/>
  <c r="AO145" i="8"/>
  <c r="AN145" i="8"/>
  <c r="AO144" i="8"/>
  <c r="AN144" i="8"/>
  <c r="AO143" i="8"/>
  <c r="AN143" i="8"/>
  <c r="AO142" i="8"/>
  <c r="AN142" i="8"/>
  <c r="AO141" i="8"/>
  <c r="AN141" i="8"/>
  <c r="AO140" i="8"/>
  <c r="AN140" i="8"/>
  <c r="AM140" i="8"/>
  <c r="AO139" i="8"/>
  <c r="AN139" i="8"/>
  <c r="AO138" i="8"/>
  <c r="AN138" i="8"/>
  <c r="AO137" i="8"/>
  <c r="AN137" i="8"/>
  <c r="AO136" i="8"/>
  <c r="AN136" i="8"/>
  <c r="AO135" i="8"/>
  <c r="AN135" i="8"/>
  <c r="AO134" i="8"/>
  <c r="AN134" i="8"/>
  <c r="AO133" i="8"/>
  <c r="AN133" i="8"/>
  <c r="AO132" i="8"/>
  <c r="AN132" i="8"/>
  <c r="AO131" i="8"/>
  <c r="AN131" i="8"/>
  <c r="AO130" i="8"/>
  <c r="AN130" i="8"/>
  <c r="AO129" i="8"/>
  <c r="AN129" i="8"/>
  <c r="AO128" i="8"/>
  <c r="AN128" i="8"/>
  <c r="AO127" i="8"/>
  <c r="AN127" i="8"/>
  <c r="AO126" i="8"/>
  <c r="AN126" i="8"/>
  <c r="AO125" i="8"/>
  <c r="AN125" i="8"/>
  <c r="AO124" i="8"/>
  <c r="AN124" i="8"/>
  <c r="AO123" i="8"/>
  <c r="AN123" i="8"/>
  <c r="AO122" i="8"/>
  <c r="AN122" i="8"/>
  <c r="AO121" i="8"/>
  <c r="AN121" i="8"/>
  <c r="AM121" i="8"/>
  <c r="AO120" i="8"/>
  <c r="AN120" i="8"/>
  <c r="AO119" i="8"/>
  <c r="AN119" i="8"/>
  <c r="AM119" i="8"/>
  <c r="AO118" i="8"/>
  <c r="AN118" i="8"/>
  <c r="AO117" i="8"/>
  <c r="AN117" i="8"/>
  <c r="AO116" i="8"/>
  <c r="AN116" i="8"/>
  <c r="AM116" i="8"/>
  <c r="AO115" i="8"/>
  <c r="AN115" i="8"/>
  <c r="AO114" i="8"/>
  <c r="AN114" i="8"/>
  <c r="AO113" i="8"/>
  <c r="AN113" i="8"/>
  <c r="AO112" i="8"/>
  <c r="AN112" i="8"/>
  <c r="AO111" i="8"/>
  <c r="AN111" i="8"/>
  <c r="AO110" i="8"/>
  <c r="AN110" i="8"/>
  <c r="AO109" i="8"/>
  <c r="AN109" i="8"/>
  <c r="AO108" i="8"/>
  <c r="AN108" i="8"/>
  <c r="AO107" i="8"/>
  <c r="AN107" i="8"/>
  <c r="AM107" i="8"/>
  <c r="AO106" i="8"/>
  <c r="AN106" i="8"/>
  <c r="AO105" i="8"/>
  <c r="AN105" i="8"/>
  <c r="AO104" i="8"/>
  <c r="AN104" i="8"/>
  <c r="AO103" i="8"/>
  <c r="AN103" i="8"/>
  <c r="AO102" i="8"/>
  <c r="AN102" i="8"/>
  <c r="AO101" i="8"/>
  <c r="AN101" i="8"/>
  <c r="AO100" i="8"/>
  <c r="AN100" i="8"/>
  <c r="AO99" i="8"/>
  <c r="AN99" i="8"/>
  <c r="AO98" i="8"/>
  <c r="AN98" i="8"/>
  <c r="AO97" i="8"/>
  <c r="AN97" i="8"/>
  <c r="AO96" i="8"/>
  <c r="AN96" i="8"/>
  <c r="AM96" i="8"/>
  <c r="AO95" i="8"/>
  <c r="AN95" i="8"/>
  <c r="AO94" i="8"/>
  <c r="AN94" i="8"/>
  <c r="AO93" i="8"/>
  <c r="AN93" i="8"/>
  <c r="AM93" i="8"/>
  <c r="AO92" i="8"/>
  <c r="AN92" i="8"/>
  <c r="AO91" i="8"/>
  <c r="AN91" i="8"/>
  <c r="AM91" i="8"/>
  <c r="AO90" i="8"/>
  <c r="AN90" i="8"/>
  <c r="AO89" i="8"/>
  <c r="AN89" i="8"/>
  <c r="AM89" i="8"/>
  <c r="AO88" i="8"/>
  <c r="AN88" i="8"/>
  <c r="AO87" i="8"/>
  <c r="AN87" i="8"/>
  <c r="AM87" i="8"/>
  <c r="AO86" i="8"/>
  <c r="AN86" i="8"/>
  <c r="AO85" i="8"/>
  <c r="AN85" i="8"/>
  <c r="AO84" i="8"/>
  <c r="AN84" i="8"/>
  <c r="AO83" i="8"/>
  <c r="AN83" i="8"/>
  <c r="AM83" i="8"/>
  <c r="AO82" i="8"/>
  <c r="AN82" i="8"/>
  <c r="AO81" i="8"/>
  <c r="AN81" i="8"/>
  <c r="AO80" i="8"/>
  <c r="AN80" i="8"/>
  <c r="AO79" i="8"/>
  <c r="AN79" i="8"/>
  <c r="AM79" i="8"/>
  <c r="AO78" i="8"/>
  <c r="AN78" i="8"/>
  <c r="AO77" i="8"/>
  <c r="AN77" i="8"/>
  <c r="AO76" i="8"/>
  <c r="AN76" i="8"/>
  <c r="AO75" i="8"/>
  <c r="AN75" i="8"/>
  <c r="AO74" i="8"/>
  <c r="AN74" i="8"/>
  <c r="AO73" i="8"/>
  <c r="AN73" i="8"/>
  <c r="AO72" i="8"/>
  <c r="AN72" i="8"/>
  <c r="AO71" i="8"/>
  <c r="AN71" i="8"/>
  <c r="AO70" i="8"/>
  <c r="AN70" i="8"/>
  <c r="AO69" i="8"/>
  <c r="AN69" i="8"/>
  <c r="AO68" i="8"/>
  <c r="AN68" i="8"/>
  <c r="AO67" i="8"/>
  <c r="AN67" i="8"/>
  <c r="AO66" i="8"/>
  <c r="AN66" i="8"/>
  <c r="AO65" i="8"/>
  <c r="AN65" i="8"/>
  <c r="AO64" i="8"/>
  <c r="AN64" i="8"/>
  <c r="AO63" i="8"/>
  <c r="AN63" i="8"/>
  <c r="AO62" i="8"/>
  <c r="AN62" i="8"/>
  <c r="AM62" i="8"/>
  <c r="AO61" i="8"/>
  <c r="AN61" i="8"/>
  <c r="AO60" i="8"/>
  <c r="AN60" i="8"/>
  <c r="AO59" i="8"/>
  <c r="AN59" i="8"/>
  <c r="AO58" i="8"/>
  <c r="AN58" i="8"/>
  <c r="AO57" i="8"/>
  <c r="AN57" i="8"/>
  <c r="AO56" i="8"/>
  <c r="AN56" i="8"/>
  <c r="AO55" i="8"/>
  <c r="AN55" i="8"/>
  <c r="AO54" i="8"/>
  <c r="AN54" i="8"/>
  <c r="AO53" i="8"/>
  <c r="AN53" i="8"/>
  <c r="AM53" i="8"/>
  <c r="AO52" i="8"/>
  <c r="AN52" i="8"/>
  <c r="AO51" i="8"/>
  <c r="AN51" i="8"/>
  <c r="AO50" i="8"/>
  <c r="AN50" i="8"/>
  <c r="AO49" i="8"/>
  <c r="AN49" i="8"/>
  <c r="AO48" i="8"/>
  <c r="AN48" i="8"/>
  <c r="AO47" i="8"/>
  <c r="AN47" i="8"/>
  <c r="AO46" i="8"/>
  <c r="AN46" i="8"/>
  <c r="AO45" i="8"/>
  <c r="AN45" i="8"/>
  <c r="AO44" i="8"/>
  <c r="AN44" i="8"/>
  <c r="AO43" i="8"/>
  <c r="AN43" i="8"/>
  <c r="AO42" i="8"/>
  <c r="AN42" i="8"/>
  <c r="AO41" i="8"/>
  <c r="AN41" i="8"/>
  <c r="AO40" i="8"/>
  <c r="AN40" i="8"/>
  <c r="AO39" i="8"/>
  <c r="AN39" i="8"/>
  <c r="AO38" i="8"/>
  <c r="AN38" i="8"/>
  <c r="AO37" i="8"/>
  <c r="AN37" i="8"/>
  <c r="AO36" i="8"/>
  <c r="AN36" i="8"/>
  <c r="AO35" i="8"/>
  <c r="AN35" i="8"/>
  <c r="AO34" i="8"/>
  <c r="AN34" i="8"/>
  <c r="AO33" i="8"/>
  <c r="AN33" i="8"/>
  <c r="AO32" i="8"/>
  <c r="AN32" i="8"/>
  <c r="AO31" i="8"/>
  <c r="AN31" i="8"/>
  <c r="AO30" i="8"/>
  <c r="AN30" i="8"/>
  <c r="AO29" i="8"/>
  <c r="AN29" i="8"/>
  <c r="AO28" i="8"/>
  <c r="AN28" i="8"/>
  <c r="AO27" i="8"/>
  <c r="AN27" i="8"/>
  <c r="AO26" i="8"/>
  <c r="AN26" i="8"/>
  <c r="AO25" i="8"/>
  <c r="AN25" i="8"/>
  <c r="AO24" i="8"/>
  <c r="AN24" i="8"/>
  <c r="AO23" i="8"/>
  <c r="AN23" i="8"/>
  <c r="AO22" i="8"/>
  <c r="AN22" i="8"/>
  <c r="AO21" i="8"/>
  <c r="AN21" i="8"/>
  <c r="AO20" i="8"/>
  <c r="AN20" i="8"/>
  <c r="AO19" i="8"/>
  <c r="AN19" i="8"/>
  <c r="AO18" i="8"/>
  <c r="AN18" i="8"/>
  <c r="AM18" i="8"/>
  <c r="AO17" i="8"/>
  <c r="AN17" i="8"/>
  <c r="AO16" i="8"/>
  <c r="AN16" i="8"/>
  <c r="AO15" i="8"/>
  <c r="AN15" i="8"/>
  <c r="AO14" i="8"/>
  <c r="AN14" i="8"/>
  <c r="AO13" i="8"/>
  <c r="AN13" i="8"/>
  <c r="AO12" i="8"/>
  <c r="AN12" i="8"/>
  <c r="AO11" i="8"/>
  <c r="AN11" i="8"/>
  <c r="AO10" i="8"/>
  <c r="AN10" i="8"/>
  <c r="AO9" i="8"/>
  <c r="AN9" i="8"/>
  <c r="AO8" i="8"/>
  <c r="AN8" i="8"/>
  <c r="AO7" i="8"/>
  <c r="AN7" i="8"/>
  <c r="AM7" i="8"/>
  <c r="AO6" i="8"/>
  <c r="AN6" i="8"/>
  <c r="AO5" i="8"/>
  <c r="AO4" i="8"/>
  <c r="AO3" i="8"/>
  <c r="AO2" i="8"/>
  <c r="AH2" i="8"/>
  <c r="AH3" i="8"/>
  <c r="AH4" i="8"/>
  <c r="AH5" i="8"/>
  <c r="AI151" i="8"/>
  <c r="AH151" i="8"/>
  <c r="AI150" i="8"/>
  <c r="AH150" i="8"/>
  <c r="AI149" i="8"/>
  <c r="AH149" i="8"/>
  <c r="AI148" i="8"/>
  <c r="AH148" i="8"/>
  <c r="AI147" i="8"/>
  <c r="AH147" i="8"/>
  <c r="AI146" i="8"/>
  <c r="AH146" i="8"/>
  <c r="AI145" i="8"/>
  <c r="AH145" i="8"/>
  <c r="AI144" i="8"/>
  <c r="AH144" i="8"/>
  <c r="AI143" i="8"/>
  <c r="AH143" i="8"/>
  <c r="AI142" i="8"/>
  <c r="AH142" i="8"/>
  <c r="AG142" i="8"/>
  <c r="AI141" i="8"/>
  <c r="AH141" i="8"/>
  <c r="AI140" i="8"/>
  <c r="AH140" i="8"/>
  <c r="AG140" i="8"/>
  <c r="AI139" i="8"/>
  <c r="AH139" i="8"/>
  <c r="AI138" i="8"/>
  <c r="AH138" i="8"/>
  <c r="AI137" i="8"/>
  <c r="AH137" i="8"/>
  <c r="AI136" i="8"/>
  <c r="AH136" i="8"/>
  <c r="AI135" i="8"/>
  <c r="AH135" i="8"/>
  <c r="AI134" i="8"/>
  <c r="AH134" i="8"/>
  <c r="AI133" i="8"/>
  <c r="AH133" i="8"/>
  <c r="AI132" i="8"/>
  <c r="AH132" i="8"/>
  <c r="AI131" i="8"/>
  <c r="AH131" i="8"/>
  <c r="AI130" i="8"/>
  <c r="AH130" i="8"/>
  <c r="AI129" i="8"/>
  <c r="AH129" i="8"/>
  <c r="AI128" i="8"/>
  <c r="AH128" i="8"/>
  <c r="AI127" i="8"/>
  <c r="AH127" i="8"/>
  <c r="AI126" i="8"/>
  <c r="AH126" i="8"/>
  <c r="AI125" i="8"/>
  <c r="AH125" i="8"/>
  <c r="AI124" i="8"/>
  <c r="AH124" i="8"/>
  <c r="AG124" i="8"/>
  <c r="AI123" i="8"/>
  <c r="AH123" i="8"/>
  <c r="AI122" i="8"/>
  <c r="AH122" i="8"/>
  <c r="AI121" i="8"/>
  <c r="AH121" i="8"/>
  <c r="AI120" i="8"/>
  <c r="AH120" i="8"/>
  <c r="AI119" i="8"/>
  <c r="AH119" i="8"/>
  <c r="AI118" i="8"/>
  <c r="AH118" i="8"/>
  <c r="AI117" i="8"/>
  <c r="AH117" i="8"/>
  <c r="AI116" i="8"/>
  <c r="AH116" i="8"/>
  <c r="AI115" i="8"/>
  <c r="AH115" i="8"/>
  <c r="AI114" i="8"/>
  <c r="AH114" i="8"/>
  <c r="AI113" i="8"/>
  <c r="AH113" i="8"/>
  <c r="AI112" i="8"/>
  <c r="AH112" i="8"/>
  <c r="AI111" i="8"/>
  <c r="AH111" i="8"/>
  <c r="AI110" i="8"/>
  <c r="AH110" i="8"/>
  <c r="AI109" i="8"/>
  <c r="AH109" i="8"/>
  <c r="AI108" i="8"/>
  <c r="AH108" i="8"/>
  <c r="AI107" i="8"/>
  <c r="AH107" i="8"/>
  <c r="AI106" i="8"/>
  <c r="AH106" i="8"/>
  <c r="AI105" i="8"/>
  <c r="AH105" i="8"/>
  <c r="AI104" i="8"/>
  <c r="AH104" i="8"/>
  <c r="AI103" i="8"/>
  <c r="AH103" i="8"/>
  <c r="AI102" i="8"/>
  <c r="AH102" i="8"/>
  <c r="AI101" i="8"/>
  <c r="AH101" i="8"/>
  <c r="AI100" i="8"/>
  <c r="AH100" i="8"/>
  <c r="AI99" i="8"/>
  <c r="AH99" i="8"/>
  <c r="AI98" i="8"/>
  <c r="AH98" i="8"/>
  <c r="AI97" i="8"/>
  <c r="AH97" i="8"/>
  <c r="AG97" i="8"/>
  <c r="AI96" i="8"/>
  <c r="AH96" i="8"/>
  <c r="AI95" i="8"/>
  <c r="AH95" i="8"/>
  <c r="AI94" i="8"/>
  <c r="AH94" i="8"/>
  <c r="AI93" i="8"/>
  <c r="AH93" i="8"/>
  <c r="AI92" i="8"/>
  <c r="AH92" i="8"/>
  <c r="AI91" i="8"/>
  <c r="AH91" i="8"/>
  <c r="AI90" i="8"/>
  <c r="AH90" i="8"/>
  <c r="AI89" i="8"/>
  <c r="AH89" i="8"/>
  <c r="AI88" i="8"/>
  <c r="AH88" i="8"/>
  <c r="AI87" i="8"/>
  <c r="AH87" i="8"/>
  <c r="AI86" i="8"/>
  <c r="AH86" i="8"/>
  <c r="AG86" i="8"/>
  <c r="AI85" i="8"/>
  <c r="AH85" i="8"/>
  <c r="AG85" i="8"/>
  <c r="AI84" i="8"/>
  <c r="AH84" i="8"/>
  <c r="AI83" i="8"/>
  <c r="AH83" i="8"/>
  <c r="AI82" i="8"/>
  <c r="AH82" i="8"/>
  <c r="AI81" i="8"/>
  <c r="AH81" i="8"/>
  <c r="AI80" i="8"/>
  <c r="AH80" i="8"/>
  <c r="AI79" i="8"/>
  <c r="AH79" i="8"/>
  <c r="AI78" i="8"/>
  <c r="AH78" i="8"/>
  <c r="AI77" i="8"/>
  <c r="AH77" i="8"/>
  <c r="AI76" i="8"/>
  <c r="AH76" i="8"/>
  <c r="AI75" i="8"/>
  <c r="AH75" i="8"/>
  <c r="AI74" i="8"/>
  <c r="AH74" i="8"/>
  <c r="AI73" i="8"/>
  <c r="AH73" i="8"/>
  <c r="AI72" i="8"/>
  <c r="AH72" i="8"/>
  <c r="AI71" i="8"/>
  <c r="AH71" i="8"/>
  <c r="AI70" i="8"/>
  <c r="AH70" i="8"/>
  <c r="AI69" i="8"/>
  <c r="AH69" i="8"/>
  <c r="AI68" i="8"/>
  <c r="AH68" i="8"/>
  <c r="AI67" i="8"/>
  <c r="AH67" i="8"/>
  <c r="AI66" i="8"/>
  <c r="AH66" i="8"/>
  <c r="AI65" i="8"/>
  <c r="AH65" i="8"/>
  <c r="AI64" i="8"/>
  <c r="AH64" i="8"/>
  <c r="AI63" i="8"/>
  <c r="AH63" i="8"/>
  <c r="AI62" i="8"/>
  <c r="AH62" i="8"/>
  <c r="AG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G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G19" i="8"/>
  <c r="AI18" i="8"/>
  <c r="AH18" i="8"/>
  <c r="AI17" i="8"/>
  <c r="AH17" i="8"/>
  <c r="AI16" i="8"/>
  <c r="AH16" i="8"/>
  <c r="AI15" i="8"/>
  <c r="AH15" i="8"/>
  <c r="AI14" i="8"/>
  <c r="AH14" i="8"/>
  <c r="AG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I4" i="8"/>
  <c r="AI3" i="8"/>
  <c r="AI2" i="8"/>
  <c r="AB2" i="8"/>
  <c r="AB3" i="8"/>
  <c r="AA3" i="8"/>
  <c r="AB4" i="8"/>
  <c r="AB5" i="8"/>
  <c r="AC151" i="8"/>
  <c r="AB151" i="8"/>
  <c r="AC150" i="8"/>
  <c r="AB150" i="8"/>
  <c r="AC149" i="8"/>
  <c r="AB149" i="8"/>
  <c r="AC148" i="8"/>
  <c r="AB148" i="8"/>
  <c r="AC147" i="8"/>
  <c r="AB147" i="8"/>
  <c r="AC146" i="8"/>
  <c r="AB146" i="8"/>
  <c r="AC145" i="8"/>
  <c r="AB145" i="8"/>
  <c r="AC144" i="8"/>
  <c r="AB144" i="8"/>
  <c r="AA144" i="8"/>
  <c r="AC143" i="8"/>
  <c r="AB143" i="8"/>
  <c r="AC142" i="8"/>
  <c r="AB142" i="8"/>
  <c r="AC141" i="8"/>
  <c r="AB141" i="8"/>
  <c r="AC140" i="8"/>
  <c r="AB140" i="8"/>
  <c r="AC139" i="8"/>
  <c r="AB139" i="8"/>
  <c r="AA139" i="8"/>
  <c r="AC138" i="8"/>
  <c r="AB138" i="8"/>
  <c r="AC137" i="8"/>
  <c r="AB137" i="8"/>
  <c r="AC136" i="8"/>
  <c r="AB136" i="8"/>
  <c r="AC135" i="8"/>
  <c r="AB135" i="8"/>
  <c r="AA135" i="8"/>
  <c r="AC134" i="8"/>
  <c r="AB134" i="8"/>
  <c r="AC133" i="8"/>
  <c r="AB133" i="8"/>
  <c r="AC132" i="8"/>
  <c r="AB132" i="8"/>
  <c r="AC131" i="8"/>
  <c r="AB131" i="8"/>
  <c r="AC130" i="8"/>
  <c r="AB130" i="8"/>
  <c r="AC129" i="8"/>
  <c r="AB129" i="8"/>
  <c r="AC128" i="8"/>
  <c r="AB128" i="8"/>
  <c r="AA128" i="8"/>
  <c r="AC127" i="8"/>
  <c r="AB127" i="8"/>
  <c r="AC126" i="8"/>
  <c r="AB126" i="8"/>
  <c r="AC125" i="8"/>
  <c r="AB125" i="8"/>
  <c r="AC124" i="8"/>
  <c r="AB124" i="8"/>
  <c r="AC123" i="8"/>
  <c r="AB123" i="8"/>
  <c r="AC122" i="8"/>
  <c r="AB122" i="8"/>
  <c r="AC121" i="8"/>
  <c r="AB121" i="8"/>
  <c r="AC120" i="8"/>
  <c r="AB120" i="8"/>
  <c r="AC119" i="8"/>
  <c r="AB119" i="8"/>
  <c r="AC118" i="8"/>
  <c r="AB118" i="8"/>
  <c r="AC117" i="8"/>
  <c r="AB117" i="8"/>
  <c r="AC116" i="8"/>
  <c r="AB116" i="8"/>
  <c r="AC115" i="8"/>
  <c r="AB115" i="8"/>
  <c r="AC114" i="8"/>
  <c r="AB114" i="8"/>
  <c r="AA114" i="8"/>
  <c r="AC113" i="8"/>
  <c r="AB113" i="8"/>
  <c r="AC112" i="8"/>
  <c r="AB112" i="8"/>
  <c r="AC111" i="8"/>
  <c r="AB111" i="8"/>
  <c r="AC110" i="8"/>
  <c r="AB110" i="8"/>
  <c r="AC109" i="8"/>
  <c r="AB109" i="8"/>
  <c r="AC108" i="8"/>
  <c r="AB108" i="8"/>
  <c r="AC107" i="8"/>
  <c r="AB107" i="8"/>
  <c r="AC106" i="8"/>
  <c r="AB106" i="8"/>
  <c r="AC105" i="8"/>
  <c r="AB105" i="8"/>
  <c r="AC104" i="8"/>
  <c r="AB104" i="8"/>
  <c r="AC103" i="8"/>
  <c r="AB103" i="8"/>
  <c r="AA103" i="8"/>
  <c r="AC102" i="8"/>
  <c r="AB102" i="8"/>
  <c r="AA102" i="8"/>
  <c r="AC101" i="8"/>
  <c r="AB101" i="8"/>
  <c r="AC100" i="8"/>
  <c r="AB100" i="8"/>
  <c r="AA100" i="8"/>
  <c r="AC99" i="8"/>
  <c r="AB99" i="8"/>
  <c r="AC98" i="8"/>
  <c r="AB98" i="8"/>
  <c r="AC97" i="8"/>
  <c r="AB97" i="8"/>
  <c r="AC96" i="8"/>
  <c r="AB96" i="8"/>
  <c r="AC95" i="8"/>
  <c r="AB95" i="8"/>
  <c r="AC94" i="8"/>
  <c r="AB94" i="8"/>
  <c r="AC93" i="8"/>
  <c r="AB93" i="8"/>
  <c r="AC92" i="8"/>
  <c r="AB92" i="8"/>
  <c r="AC91" i="8"/>
  <c r="AB91" i="8"/>
  <c r="AC90" i="8"/>
  <c r="AB90" i="8"/>
  <c r="AC89" i="8"/>
  <c r="AB89" i="8"/>
  <c r="AC88" i="8"/>
  <c r="AB88" i="8"/>
  <c r="AA88" i="8"/>
  <c r="AC87" i="8"/>
  <c r="AB87" i="8"/>
  <c r="AA87" i="8"/>
  <c r="AC86" i="8"/>
  <c r="AB86" i="8"/>
  <c r="AC85" i="8"/>
  <c r="AB85" i="8"/>
  <c r="AC84" i="8"/>
  <c r="AB84" i="8"/>
  <c r="AC83" i="8"/>
  <c r="AB83" i="8"/>
  <c r="AC82" i="8"/>
  <c r="AB82" i="8"/>
  <c r="AA82" i="8"/>
  <c r="AC81" i="8"/>
  <c r="AB81" i="8"/>
  <c r="AC80" i="8"/>
  <c r="AB80" i="8"/>
  <c r="AC79" i="8"/>
  <c r="AB79" i="8"/>
  <c r="AC78" i="8"/>
  <c r="AB78" i="8"/>
  <c r="AC77" i="8"/>
  <c r="AB77" i="8"/>
  <c r="AC76" i="8"/>
  <c r="AB76" i="8"/>
  <c r="AC75" i="8"/>
  <c r="AB75" i="8"/>
  <c r="AC74" i="8"/>
  <c r="AB74" i="8"/>
  <c r="AC73" i="8"/>
  <c r="AB73" i="8"/>
  <c r="AC72" i="8"/>
  <c r="AB72" i="8"/>
  <c r="AC71" i="8"/>
  <c r="AB71" i="8"/>
  <c r="AC70" i="8"/>
  <c r="AB70" i="8"/>
  <c r="AC69" i="8"/>
  <c r="AB69" i="8"/>
  <c r="AC68" i="8"/>
  <c r="AB68" i="8"/>
  <c r="AA68" i="8"/>
  <c r="AC67" i="8"/>
  <c r="AB67" i="8"/>
  <c r="AA67" i="8"/>
  <c r="AC66" i="8"/>
  <c r="AB66" i="8"/>
  <c r="AC65" i="8"/>
  <c r="AB65" i="8"/>
  <c r="AC64" i="8"/>
  <c r="AB64" i="8"/>
  <c r="AC63" i="8"/>
  <c r="AB63" i="8"/>
  <c r="AC62" i="8"/>
  <c r="AB62" i="8"/>
  <c r="AA62" i="8"/>
  <c r="AC61" i="8"/>
  <c r="AB61" i="8"/>
  <c r="AC60" i="8"/>
  <c r="AB60" i="8"/>
  <c r="AC59" i="8"/>
  <c r="AB59" i="8"/>
  <c r="AA59" i="8"/>
  <c r="AC58" i="8"/>
  <c r="AB58" i="8"/>
  <c r="AC57" i="8"/>
  <c r="AB57" i="8"/>
  <c r="AC56" i="8"/>
  <c r="AB56" i="8"/>
  <c r="AC55" i="8"/>
  <c r="AB55" i="8"/>
  <c r="AC54" i="8"/>
  <c r="AB54" i="8"/>
  <c r="AC53" i="8"/>
  <c r="AB53" i="8"/>
  <c r="AC52" i="8"/>
  <c r="AB52" i="8"/>
  <c r="AC51" i="8"/>
  <c r="AB51" i="8"/>
  <c r="AC50" i="8"/>
  <c r="AB50" i="8"/>
  <c r="AC49" i="8"/>
  <c r="AB49" i="8"/>
  <c r="AC48" i="8"/>
  <c r="AB48" i="8"/>
  <c r="AC47" i="8"/>
  <c r="AB47" i="8"/>
  <c r="AC46" i="8"/>
  <c r="AB46" i="8"/>
  <c r="AC45" i="8"/>
  <c r="AB45" i="8"/>
  <c r="AC44" i="8"/>
  <c r="AB44" i="8"/>
  <c r="AC43" i="8"/>
  <c r="AB43" i="8"/>
  <c r="AC42" i="8"/>
  <c r="AB42" i="8"/>
  <c r="AC41" i="8"/>
  <c r="AB41" i="8"/>
  <c r="AC40" i="8"/>
  <c r="AB40" i="8"/>
  <c r="AC39" i="8"/>
  <c r="AB39" i="8"/>
  <c r="AC38" i="8"/>
  <c r="AB38" i="8"/>
  <c r="AA38" i="8"/>
  <c r="AC37" i="8"/>
  <c r="AB37" i="8"/>
  <c r="AC36" i="8"/>
  <c r="AB36" i="8"/>
  <c r="AA36" i="8"/>
  <c r="AC35" i="8"/>
  <c r="AB35" i="8"/>
  <c r="AC34" i="8"/>
  <c r="AB34" i="8"/>
  <c r="AC33" i="8"/>
  <c r="AB33" i="8"/>
  <c r="AC32" i="8"/>
  <c r="AB32" i="8"/>
  <c r="AC31" i="8"/>
  <c r="AB31" i="8"/>
  <c r="AC30" i="8"/>
  <c r="AB30" i="8"/>
  <c r="AC29" i="8"/>
  <c r="AB29" i="8"/>
  <c r="AC28" i="8"/>
  <c r="AB28" i="8"/>
  <c r="AA28" i="8"/>
  <c r="AC27" i="8"/>
  <c r="AB27" i="8"/>
  <c r="AC26" i="8"/>
  <c r="AB26" i="8"/>
  <c r="AC25" i="8"/>
  <c r="AB25" i="8"/>
  <c r="AC24" i="8"/>
  <c r="AB24" i="8"/>
  <c r="AC23" i="8"/>
  <c r="AB23" i="8"/>
  <c r="AC22" i="8"/>
  <c r="AB22" i="8"/>
  <c r="AC21" i="8"/>
  <c r="AB21" i="8"/>
  <c r="AC20" i="8"/>
  <c r="AB20" i="8"/>
  <c r="AC19" i="8"/>
  <c r="AB19" i="8"/>
  <c r="AC18" i="8"/>
  <c r="AB18" i="8"/>
  <c r="AC17" i="8"/>
  <c r="AB17" i="8"/>
  <c r="AC16" i="8"/>
  <c r="AB16" i="8"/>
  <c r="AC15" i="8"/>
  <c r="AB15" i="8"/>
  <c r="AC14" i="8"/>
  <c r="AB14" i="8"/>
  <c r="AC13" i="8"/>
  <c r="AB13" i="8"/>
  <c r="AC12" i="8"/>
  <c r="AB12" i="8"/>
  <c r="AC11" i="8"/>
  <c r="AB11" i="8"/>
  <c r="AA11" i="8"/>
  <c r="AC10" i="8"/>
  <c r="AB10" i="8"/>
  <c r="AA10" i="8"/>
  <c r="AC9" i="8"/>
  <c r="AB9" i="8"/>
  <c r="AC8" i="8"/>
  <c r="AB8" i="8"/>
  <c r="AC7" i="8"/>
  <c r="AB7" i="8"/>
  <c r="AC6" i="8"/>
  <c r="AB6" i="8"/>
  <c r="AC5" i="8"/>
  <c r="AC4" i="8"/>
  <c r="AC3" i="8"/>
  <c r="AC2" i="8"/>
  <c r="V2" i="8"/>
  <c r="V3" i="8"/>
  <c r="V4" i="8"/>
  <c r="V5" i="8"/>
  <c r="W151" i="8"/>
  <c r="V151" i="8"/>
  <c r="W150" i="8"/>
  <c r="V150" i="8"/>
  <c r="W149" i="8"/>
  <c r="V149" i="8"/>
  <c r="W148" i="8"/>
  <c r="V148" i="8"/>
  <c r="U148" i="8"/>
  <c r="W147" i="8"/>
  <c r="V147" i="8"/>
  <c r="W146" i="8"/>
  <c r="V146" i="8"/>
  <c r="W145" i="8"/>
  <c r="V145" i="8"/>
  <c r="W144" i="8"/>
  <c r="V144" i="8"/>
  <c r="W143" i="8"/>
  <c r="V143" i="8"/>
  <c r="W142" i="8"/>
  <c r="V142" i="8"/>
  <c r="W141" i="8"/>
  <c r="V141" i="8"/>
  <c r="W140" i="8"/>
  <c r="V140" i="8"/>
  <c r="W139" i="8"/>
  <c r="V139" i="8"/>
  <c r="W138" i="8"/>
  <c r="V138" i="8"/>
  <c r="W137" i="8"/>
  <c r="V137" i="8"/>
  <c r="W136" i="8"/>
  <c r="V136" i="8"/>
  <c r="W135" i="8"/>
  <c r="V135" i="8"/>
  <c r="W134" i="8"/>
  <c r="V134" i="8"/>
  <c r="U134" i="8"/>
  <c r="W133" i="8"/>
  <c r="V133" i="8"/>
  <c r="U133" i="8"/>
  <c r="W132" i="8"/>
  <c r="V132" i="8"/>
  <c r="U132" i="8"/>
  <c r="W131" i="8"/>
  <c r="V131" i="8"/>
  <c r="W130" i="8"/>
  <c r="V130" i="8"/>
  <c r="W129" i="8"/>
  <c r="V129" i="8"/>
  <c r="W128" i="8"/>
  <c r="V128" i="8"/>
  <c r="W127" i="8"/>
  <c r="V127" i="8"/>
  <c r="W126" i="8"/>
  <c r="V126" i="8"/>
  <c r="W125" i="8"/>
  <c r="V125" i="8"/>
  <c r="W124" i="8"/>
  <c r="V124" i="8"/>
  <c r="W123" i="8"/>
  <c r="V123" i="8"/>
  <c r="W122" i="8"/>
  <c r="V122" i="8"/>
  <c r="W121" i="8"/>
  <c r="V121" i="8"/>
  <c r="W120" i="8"/>
  <c r="V120" i="8"/>
  <c r="W119" i="8"/>
  <c r="V119" i="8"/>
  <c r="W118" i="8"/>
  <c r="V118" i="8"/>
  <c r="W117" i="8"/>
  <c r="V117" i="8"/>
  <c r="W116" i="8"/>
  <c r="V116" i="8"/>
  <c r="W115" i="8"/>
  <c r="V115" i="8"/>
  <c r="W114" i="8"/>
  <c r="V114" i="8"/>
  <c r="W113" i="8"/>
  <c r="V113" i="8"/>
  <c r="W112" i="8"/>
  <c r="V112" i="8"/>
  <c r="W111" i="8"/>
  <c r="V111" i="8"/>
  <c r="W110" i="8"/>
  <c r="V110" i="8"/>
  <c r="W109" i="8"/>
  <c r="V109" i="8"/>
  <c r="W108" i="8"/>
  <c r="V108" i="8"/>
  <c r="W107" i="8"/>
  <c r="V107" i="8"/>
  <c r="W106" i="8"/>
  <c r="V106" i="8"/>
  <c r="W105" i="8"/>
  <c r="V105" i="8"/>
  <c r="W104" i="8"/>
  <c r="V104" i="8"/>
  <c r="W103" i="8"/>
  <c r="V103" i="8"/>
  <c r="W102" i="8"/>
  <c r="V102" i="8"/>
  <c r="W101" i="8"/>
  <c r="V101" i="8"/>
  <c r="W100" i="8"/>
  <c r="V100" i="8"/>
  <c r="W99" i="8"/>
  <c r="V99" i="8"/>
  <c r="W98" i="8"/>
  <c r="V98" i="8"/>
  <c r="W97" i="8"/>
  <c r="V97" i="8"/>
  <c r="W96" i="8"/>
  <c r="V96" i="8"/>
  <c r="W95" i="8"/>
  <c r="V95" i="8"/>
  <c r="U95" i="8"/>
  <c r="W94" i="8"/>
  <c r="V94" i="8"/>
  <c r="W93" i="8"/>
  <c r="V93" i="8"/>
  <c r="W92" i="8"/>
  <c r="V92" i="8"/>
  <c r="W91" i="8"/>
  <c r="V91" i="8"/>
  <c r="W90" i="8"/>
  <c r="V90" i="8"/>
  <c r="W89" i="8"/>
  <c r="V89" i="8"/>
  <c r="W88" i="8"/>
  <c r="V88" i="8"/>
  <c r="W87" i="8"/>
  <c r="V87" i="8"/>
  <c r="W86" i="8"/>
  <c r="V86" i="8"/>
  <c r="W85" i="8"/>
  <c r="V85" i="8"/>
  <c r="W84" i="8"/>
  <c r="V84" i="8"/>
  <c r="W83" i="8"/>
  <c r="V83" i="8"/>
  <c r="W82" i="8"/>
  <c r="V82" i="8"/>
  <c r="W81" i="8"/>
  <c r="V81" i="8"/>
  <c r="W80" i="8"/>
  <c r="V80" i="8"/>
  <c r="W79" i="8"/>
  <c r="V79" i="8"/>
  <c r="W78" i="8"/>
  <c r="V78" i="8"/>
  <c r="W77" i="8"/>
  <c r="V77" i="8"/>
  <c r="W76" i="8"/>
  <c r="V76" i="8"/>
  <c r="W75" i="8"/>
  <c r="V75" i="8"/>
  <c r="W74" i="8"/>
  <c r="V74" i="8"/>
  <c r="W73" i="8"/>
  <c r="V73" i="8"/>
  <c r="W72" i="8"/>
  <c r="V72" i="8"/>
  <c r="W71" i="8"/>
  <c r="V71" i="8"/>
  <c r="W70" i="8"/>
  <c r="V70" i="8"/>
  <c r="W69" i="8"/>
  <c r="V69" i="8"/>
  <c r="W68" i="8"/>
  <c r="V68" i="8"/>
  <c r="W67" i="8"/>
  <c r="V67" i="8"/>
  <c r="W66" i="8"/>
  <c r="V66" i="8"/>
  <c r="W65" i="8"/>
  <c r="V65" i="8"/>
  <c r="W64" i="8"/>
  <c r="V64" i="8"/>
  <c r="W63" i="8"/>
  <c r="V63" i="8"/>
  <c r="W62" i="8"/>
  <c r="V62" i="8"/>
  <c r="W61" i="8"/>
  <c r="V61" i="8"/>
  <c r="W60" i="8"/>
  <c r="V60" i="8"/>
  <c r="W59" i="8"/>
  <c r="V59" i="8"/>
  <c r="W58" i="8"/>
  <c r="V58" i="8"/>
  <c r="W57" i="8"/>
  <c r="V57" i="8"/>
  <c r="W56" i="8"/>
  <c r="V56" i="8"/>
  <c r="U56" i="8"/>
  <c r="W55" i="8"/>
  <c r="V55" i="8"/>
  <c r="W54" i="8"/>
  <c r="V54" i="8"/>
  <c r="W53" i="8"/>
  <c r="V53" i="8"/>
  <c r="W52" i="8"/>
  <c r="V52" i="8"/>
  <c r="W51" i="8"/>
  <c r="V51" i="8"/>
  <c r="W50" i="8"/>
  <c r="V50" i="8"/>
  <c r="W49" i="8"/>
  <c r="V49" i="8"/>
  <c r="W48" i="8"/>
  <c r="V48" i="8"/>
  <c r="W47" i="8"/>
  <c r="V47" i="8"/>
  <c r="W46" i="8"/>
  <c r="V46" i="8"/>
  <c r="W45" i="8"/>
  <c r="V45" i="8"/>
  <c r="W44" i="8"/>
  <c r="V44" i="8"/>
  <c r="W43" i="8"/>
  <c r="V43" i="8"/>
  <c r="W42" i="8"/>
  <c r="V42" i="8"/>
  <c r="W41" i="8"/>
  <c r="V41" i="8"/>
  <c r="W40" i="8"/>
  <c r="V40" i="8"/>
  <c r="W39" i="8"/>
  <c r="V39" i="8"/>
  <c r="W38" i="8"/>
  <c r="V38" i="8"/>
  <c r="W37" i="8"/>
  <c r="V37" i="8"/>
  <c r="W36" i="8"/>
  <c r="V36" i="8"/>
  <c r="U36" i="8"/>
  <c r="W35" i="8"/>
  <c r="V35" i="8"/>
  <c r="W34" i="8"/>
  <c r="V34" i="8"/>
  <c r="W33" i="8"/>
  <c r="V33" i="8"/>
  <c r="W32" i="8"/>
  <c r="V32" i="8"/>
  <c r="W31" i="8"/>
  <c r="V31" i="8"/>
  <c r="W30" i="8"/>
  <c r="V30" i="8"/>
  <c r="U30" i="8"/>
  <c r="W29" i="8"/>
  <c r="V29" i="8"/>
  <c r="W28" i="8"/>
  <c r="V28" i="8"/>
  <c r="W27" i="8"/>
  <c r="V27" i="8"/>
  <c r="W26" i="8"/>
  <c r="V26" i="8"/>
  <c r="W25" i="8"/>
  <c r="V25" i="8"/>
  <c r="W24" i="8"/>
  <c r="V24" i="8"/>
  <c r="W23" i="8"/>
  <c r="V23" i="8"/>
  <c r="W22" i="8"/>
  <c r="V22" i="8"/>
  <c r="W21" i="8"/>
  <c r="V21" i="8"/>
  <c r="W20" i="8"/>
  <c r="V20" i="8"/>
  <c r="U20" i="8"/>
  <c r="W19" i="8"/>
  <c r="V19" i="8"/>
  <c r="U19" i="8"/>
  <c r="W18" i="8"/>
  <c r="V18" i="8"/>
  <c r="W17" i="8"/>
  <c r="V17" i="8"/>
  <c r="W16" i="8"/>
  <c r="V16" i="8"/>
  <c r="W15" i="8"/>
  <c r="V15" i="8"/>
  <c r="W14" i="8"/>
  <c r="V14" i="8"/>
  <c r="W13" i="8"/>
  <c r="V13" i="8"/>
  <c r="W12" i="8"/>
  <c r="V12" i="8"/>
  <c r="W11" i="8"/>
  <c r="V11" i="8"/>
  <c r="W10" i="8"/>
  <c r="V10" i="8"/>
  <c r="W9" i="8"/>
  <c r="V9" i="8"/>
  <c r="W8" i="8"/>
  <c r="V8" i="8"/>
  <c r="W7" i="8"/>
  <c r="V7" i="8"/>
  <c r="W6" i="8"/>
  <c r="V6" i="8"/>
  <c r="W5" i="8"/>
  <c r="W4" i="8"/>
  <c r="W3" i="8"/>
  <c r="W2" i="8"/>
  <c r="P2" i="8"/>
  <c r="P3" i="8"/>
  <c r="P4" i="8"/>
  <c r="P5" i="8"/>
  <c r="Q151" i="8"/>
  <c r="P151" i="8"/>
  <c r="Q150" i="8"/>
  <c r="P150" i="8"/>
  <c r="O150" i="8"/>
  <c r="Q149" i="8"/>
  <c r="P149" i="8"/>
  <c r="Q148" i="8"/>
  <c r="P148" i="8"/>
  <c r="Q147" i="8"/>
  <c r="P147" i="8"/>
  <c r="Q146" i="8"/>
  <c r="P146" i="8"/>
  <c r="Q145" i="8"/>
  <c r="P145" i="8"/>
  <c r="Q144" i="8"/>
  <c r="P144" i="8"/>
  <c r="Q143" i="8"/>
  <c r="P143" i="8"/>
  <c r="Q142" i="8"/>
  <c r="P142" i="8"/>
  <c r="Q141" i="8"/>
  <c r="P141" i="8"/>
  <c r="Q140" i="8"/>
  <c r="P140" i="8"/>
  <c r="Q139" i="8"/>
  <c r="P139" i="8"/>
  <c r="Q138" i="8"/>
  <c r="P138" i="8"/>
  <c r="Q137" i="8"/>
  <c r="P137" i="8"/>
  <c r="Q136" i="8"/>
  <c r="P136" i="8"/>
  <c r="Q135" i="8"/>
  <c r="P135" i="8"/>
  <c r="Q134" i="8"/>
  <c r="P134" i="8"/>
  <c r="Q133" i="8"/>
  <c r="P133" i="8"/>
  <c r="Q132" i="8"/>
  <c r="P132" i="8"/>
  <c r="Q131" i="8"/>
  <c r="P131" i="8"/>
  <c r="Q130" i="8"/>
  <c r="P130" i="8"/>
  <c r="Q129" i="8"/>
  <c r="P129" i="8"/>
  <c r="Q128" i="8"/>
  <c r="P128" i="8"/>
  <c r="Q127" i="8"/>
  <c r="P127" i="8"/>
  <c r="Q126" i="8"/>
  <c r="P126" i="8"/>
  <c r="Q125" i="8"/>
  <c r="P125" i="8"/>
  <c r="Q124" i="8"/>
  <c r="P124" i="8"/>
  <c r="O124" i="8"/>
  <c r="Q123" i="8"/>
  <c r="P123" i="8"/>
  <c r="Q122" i="8"/>
  <c r="P122" i="8"/>
  <c r="Q121" i="8"/>
  <c r="P121" i="8"/>
  <c r="Q120" i="8"/>
  <c r="P120" i="8"/>
  <c r="Q119" i="8"/>
  <c r="P119" i="8"/>
  <c r="Q118" i="8"/>
  <c r="P118" i="8"/>
  <c r="Q117" i="8"/>
  <c r="P117" i="8"/>
  <c r="Q116" i="8"/>
  <c r="P116" i="8"/>
  <c r="Q115" i="8"/>
  <c r="P115" i="8"/>
  <c r="Q114" i="8"/>
  <c r="P114" i="8"/>
  <c r="Q113" i="8"/>
  <c r="P113" i="8"/>
  <c r="Q112" i="8"/>
  <c r="P112" i="8"/>
  <c r="Q111" i="8"/>
  <c r="P111" i="8"/>
  <c r="Q110" i="8"/>
  <c r="P110" i="8"/>
  <c r="Q109" i="8"/>
  <c r="P109" i="8"/>
  <c r="Q108" i="8"/>
  <c r="P108" i="8"/>
  <c r="Q107" i="8"/>
  <c r="P107" i="8"/>
  <c r="Q106" i="8"/>
  <c r="P106" i="8"/>
  <c r="Q105" i="8"/>
  <c r="P105" i="8"/>
  <c r="Q104" i="8"/>
  <c r="P104" i="8"/>
  <c r="Q103" i="8"/>
  <c r="P103" i="8"/>
  <c r="Q102" i="8"/>
  <c r="P102" i="8"/>
  <c r="Q101" i="8"/>
  <c r="P101" i="8"/>
  <c r="Q100" i="8"/>
  <c r="P100" i="8"/>
  <c r="O100" i="8"/>
  <c r="Q99" i="8"/>
  <c r="P99" i="8"/>
  <c r="Q98" i="8"/>
  <c r="P98" i="8"/>
  <c r="Q97" i="8"/>
  <c r="P97" i="8"/>
  <c r="Q96" i="8"/>
  <c r="P96" i="8"/>
  <c r="Q95" i="8"/>
  <c r="P95" i="8"/>
  <c r="Q94" i="8"/>
  <c r="P94" i="8"/>
  <c r="Q93" i="8"/>
  <c r="P93" i="8"/>
  <c r="Q92" i="8"/>
  <c r="P92" i="8"/>
  <c r="Q91" i="8"/>
  <c r="P91" i="8"/>
  <c r="Q90" i="8"/>
  <c r="P90" i="8"/>
  <c r="Q89" i="8"/>
  <c r="P89" i="8"/>
  <c r="Q88" i="8"/>
  <c r="P88" i="8"/>
  <c r="Q87" i="8"/>
  <c r="P87" i="8"/>
  <c r="Q86" i="8"/>
  <c r="P86" i="8"/>
  <c r="Q85" i="8"/>
  <c r="P85" i="8"/>
  <c r="Q84" i="8"/>
  <c r="P84" i="8"/>
  <c r="Q83" i="8"/>
  <c r="P83" i="8"/>
  <c r="Q82" i="8"/>
  <c r="P82" i="8"/>
  <c r="Q81" i="8"/>
  <c r="P81" i="8"/>
  <c r="Q80" i="8"/>
  <c r="P80" i="8"/>
  <c r="Q79" i="8"/>
  <c r="P79" i="8"/>
  <c r="Q78" i="8"/>
  <c r="P78" i="8"/>
  <c r="Q77" i="8"/>
  <c r="P77" i="8"/>
  <c r="Q76" i="8"/>
  <c r="P76" i="8"/>
  <c r="Q75" i="8"/>
  <c r="P75" i="8"/>
  <c r="Q74" i="8"/>
  <c r="P74" i="8"/>
  <c r="Q73" i="8"/>
  <c r="P73" i="8"/>
  <c r="Q72" i="8"/>
  <c r="P72" i="8"/>
  <c r="Q71" i="8"/>
  <c r="P71" i="8"/>
  <c r="Q70" i="8"/>
  <c r="P70" i="8"/>
  <c r="Q69" i="8"/>
  <c r="P69" i="8"/>
  <c r="Q68" i="8"/>
  <c r="P68" i="8"/>
  <c r="Q67" i="8"/>
  <c r="P67" i="8"/>
  <c r="Q66" i="8"/>
  <c r="P66" i="8"/>
  <c r="Q65" i="8"/>
  <c r="P65" i="8"/>
  <c r="O65" i="8"/>
  <c r="Q64" i="8"/>
  <c r="P64" i="8"/>
  <c r="Q63" i="8"/>
  <c r="P63" i="8"/>
  <c r="Q62" i="8"/>
  <c r="P62" i="8"/>
  <c r="Q61" i="8"/>
  <c r="P61" i="8"/>
  <c r="Q60" i="8"/>
  <c r="P60" i="8"/>
  <c r="Q59" i="8"/>
  <c r="P59" i="8"/>
  <c r="Q58" i="8"/>
  <c r="P58" i="8"/>
  <c r="Q57" i="8"/>
  <c r="P57" i="8"/>
  <c r="Q56" i="8"/>
  <c r="P56" i="8"/>
  <c r="Q55" i="8"/>
  <c r="P55" i="8"/>
  <c r="Q54" i="8"/>
  <c r="P54" i="8"/>
  <c r="Q53" i="8"/>
  <c r="P53" i="8"/>
  <c r="Q52" i="8"/>
  <c r="P52" i="8"/>
  <c r="Q51" i="8"/>
  <c r="P51" i="8"/>
  <c r="Q50" i="8"/>
  <c r="P50" i="8"/>
  <c r="Q49" i="8"/>
  <c r="P49" i="8"/>
  <c r="Q48" i="8"/>
  <c r="P48" i="8"/>
  <c r="O48" i="8"/>
  <c r="Q47" i="8"/>
  <c r="P47" i="8"/>
  <c r="Q46" i="8"/>
  <c r="P46" i="8"/>
  <c r="Q45" i="8"/>
  <c r="P45" i="8"/>
  <c r="Q44" i="8"/>
  <c r="P44" i="8"/>
  <c r="Q43" i="8"/>
  <c r="P43" i="8"/>
  <c r="Q42" i="8"/>
  <c r="P42" i="8"/>
  <c r="Q41" i="8"/>
  <c r="P41" i="8"/>
  <c r="Q40" i="8"/>
  <c r="P40" i="8"/>
  <c r="Q39" i="8"/>
  <c r="P39" i="8"/>
  <c r="Q38" i="8"/>
  <c r="P38" i="8"/>
  <c r="Q37" i="8"/>
  <c r="P37" i="8"/>
  <c r="Q36" i="8"/>
  <c r="P36" i="8"/>
  <c r="Q35" i="8"/>
  <c r="P35" i="8"/>
  <c r="Q34" i="8"/>
  <c r="P34" i="8"/>
  <c r="Q33" i="8"/>
  <c r="P33" i="8"/>
  <c r="Q32" i="8"/>
  <c r="P32" i="8"/>
  <c r="Q31" i="8"/>
  <c r="P31" i="8"/>
  <c r="Q30" i="8"/>
  <c r="P30" i="8"/>
  <c r="Q29" i="8"/>
  <c r="P29" i="8"/>
  <c r="Q28" i="8"/>
  <c r="P28" i="8"/>
  <c r="Q27" i="8"/>
  <c r="P27" i="8"/>
  <c r="Q26" i="8"/>
  <c r="P26" i="8"/>
  <c r="Q25" i="8"/>
  <c r="P25" i="8"/>
  <c r="O25" i="8"/>
  <c r="Q24" i="8"/>
  <c r="P24" i="8"/>
  <c r="Q23" i="8"/>
  <c r="P23" i="8"/>
  <c r="Q22" i="8"/>
  <c r="P22" i="8"/>
  <c r="Q21" i="8"/>
  <c r="P21" i="8"/>
  <c r="Q20" i="8"/>
  <c r="P20" i="8"/>
  <c r="Q19" i="8"/>
  <c r="P19" i="8"/>
  <c r="Q18" i="8"/>
  <c r="P18" i="8"/>
  <c r="Q17" i="8"/>
  <c r="P17" i="8"/>
  <c r="Q16" i="8"/>
  <c r="P16" i="8"/>
  <c r="Q15" i="8"/>
  <c r="P15" i="8"/>
  <c r="Q14" i="8"/>
  <c r="P14" i="8"/>
  <c r="Q13" i="8"/>
  <c r="P13" i="8"/>
  <c r="Q12" i="8"/>
  <c r="P12" i="8"/>
  <c r="Q11" i="8"/>
  <c r="P11" i="8"/>
  <c r="Q10" i="8"/>
  <c r="P10" i="8"/>
  <c r="O10" i="8"/>
  <c r="Q9" i="8"/>
  <c r="P9" i="8"/>
  <c r="Q8" i="8"/>
  <c r="P8" i="8"/>
  <c r="Q7" i="8"/>
  <c r="P7" i="8"/>
  <c r="Q6" i="8"/>
  <c r="P6" i="8"/>
  <c r="Q5" i="8"/>
  <c r="Q4" i="8"/>
  <c r="Q3" i="8"/>
  <c r="Q2" i="8"/>
  <c r="J2" i="8"/>
  <c r="J3" i="8"/>
  <c r="J4" i="8"/>
  <c r="J5" i="8"/>
  <c r="K151" i="8"/>
  <c r="J151" i="8"/>
  <c r="K150" i="8"/>
  <c r="J150" i="8"/>
  <c r="K149" i="8"/>
  <c r="J149" i="8"/>
  <c r="K148" i="8"/>
  <c r="J148" i="8"/>
  <c r="K147" i="8"/>
  <c r="J147" i="8"/>
  <c r="K146" i="8"/>
  <c r="J146" i="8"/>
  <c r="K145" i="8"/>
  <c r="J145" i="8"/>
  <c r="K144" i="8"/>
  <c r="J144" i="8"/>
  <c r="K143" i="8"/>
  <c r="J143" i="8"/>
  <c r="K142" i="8"/>
  <c r="J142" i="8"/>
  <c r="K141" i="8"/>
  <c r="J141" i="8"/>
  <c r="K140" i="8"/>
  <c r="J140" i="8"/>
  <c r="K139" i="8"/>
  <c r="J139" i="8"/>
  <c r="K138" i="8"/>
  <c r="J138" i="8"/>
  <c r="K137" i="8"/>
  <c r="J137" i="8"/>
  <c r="K136" i="8"/>
  <c r="J136" i="8"/>
  <c r="K135" i="8"/>
  <c r="J135" i="8"/>
  <c r="K134" i="8"/>
  <c r="J134" i="8"/>
  <c r="K133" i="8"/>
  <c r="J133" i="8"/>
  <c r="K132" i="8"/>
  <c r="J132" i="8"/>
  <c r="K131" i="8"/>
  <c r="J131" i="8"/>
  <c r="K130" i="8"/>
  <c r="J130" i="8"/>
  <c r="K129" i="8"/>
  <c r="J129" i="8"/>
  <c r="K128" i="8"/>
  <c r="J128" i="8"/>
  <c r="K127" i="8"/>
  <c r="J127" i="8"/>
  <c r="K126" i="8"/>
  <c r="J126" i="8"/>
  <c r="K125" i="8"/>
  <c r="J125" i="8"/>
  <c r="K124" i="8"/>
  <c r="J124" i="8"/>
  <c r="K123" i="8"/>
  <c r="J123" i="8"/>
  <c r="K122" i="8"/>
  <c r="J122" i="8"/>
  <c r="K121" i="8"/>
  <c r="J121" i="8"/>
  <c r="K120" i="8"/>
  <c r="J120" i="8"/>
  <c r="K119" i="8"/>
  <c r="J119" i="8"/>
  <c r="K118" i="8"/>
  <c r="J118" i="8"/>
  <c r="K117" i="8"/>
  <c r="J117" i="8"/>
  <c r="K116" i="8"/>
  <c r="J116" i="8"/>
  <c r="K115" i="8"/>
  <c r="J115" i="8"/>
  <c r="K114" i="8"/>
  <c r="J114" i="8"/>
  <c r="I114" i="8"/>
  <c r="K113" i="8"/>
  <c r="J113" i="8"/>
  <c r="K112" i="8"/>
  <c r="J112" i="8"/>
  <c r="K111" i="8"/>
  <c r="J111" i="8"/>
  <c r="K110" i="8"/>
  <c r="J110" i="8"/>
  <c r="K109" i="8"/>
  <c r="J109" i="8"/>
  <c r="K108" i="8"/>
  <c r="J108" i="8"/>
  <c r="K107" i="8"/>
  <c r="J107" i="8"/>
  <c r="K106" i="8"/>
  <c r="J106" i="8"/>
  <c r="K105" i="8"/>
  <c r="J105" i="8"/>
  <c r="K104" i="8"/>
  <c r="J104" i="8"/>
  <c r="K103" i="8"/>
  <c r="J103" i="8"/>
  <c r="K102" i="8"/>
  <c r="J102" i="8"/>
  <c r="K101" i="8"/>
  <c r="J101" i="8"/>
  <c r="K100" i="8"/>
  <c r="J100" i="8"/>
  <c r="K99" i="8"/>
  <c r="J99" i="8"/>
  <c r="K98" i="8"/>
  <c r="J98" i="8"/>
  <c r="K97" i="8"/>
  <c r="J97" i="8"/>
  <c r="K96" i="8"/>
  <c r="J96" i="8"/>
  <c r="K95" i="8"/>
  <c r="J95" i="8"/>
  <c r="K94" i="8"/>
  <c r="J94" i="8"/>
  <c r="K93" i="8"/>
  <c r="J93" i="8"/>
  <c r="K92" i="8"/>
  <c r="J92" i="8"/>
  <c r="K91" i="8"/>
  <c r="J91" i="8"/>
  <c r="K90" i="8"/>
  <c r="J90" i="8"/>
  <c r="K89" i="8"/>
  <c r="J89" i="8"/>
  <c r="K88" i="8"/>
  <c r="J88" i="8"/>
  <c r="K87" i="8"/>
  <c r="J87" i="8"/>
  <c r="I87" i="8"/>
  <c r="K86" i="8"/>
  <c r="J86" i="8"/>
  <c r="K85" i="8"/>
  <c r="J85" i="8"/>
  <c r="K84" i="8"/>
  <c r="J84" i="8"/>
  <c r="K83" i="8"/>
  <c r="J83" i="8"/>
  <c r="K82" i="8"/>
  <c r="J82" i="8"/>
  <c r="K81" i="8"/>
  <c r="J81" i="8"/>
  <c r="K80" i="8"/>
  <c r="J80" i="8"/>
  <c r="K79" i="8"/>
  <c r="J79" i="8"/>
  <c r="K78" i="8"/>
  <c r="J78" i="8"/>
  <c r="K77" i="8"/>
  <c r="J77" i="8"/>
  <c r="K76" i="8"/>
  <c r="J76" i="8"/>
  <c r="K75" i="8"/>
  <c r="J75" i="8"/>
  <c r="K74" i="8"/>
  <c r="J74" i="8"/>
  <c r="K73" i="8"/>
  <c r="J73" i="8"/>
  <c r="K72" i="8"/>
  <c r="J72" i="8"/>
  <c r="K71" i="8"/>
  <c r="J71" i="8"/>
  <c r="K70" i="8"/>
  <c r="J70" i="8"/>
  <c r="K69" i="8"/>
  <c r="J69" i="8"/>
  <c r="K68" i="8"/>
  <c r="J68" i="8"/>
  <c r="K67" i="8"/>
  <c r="J67" i="8"/>
  <c r="K66" i="8"/>
  <c r="J66" i="8"/>
  <c r="K65" i="8"/>
  <c r="J65" i="8"/>
  <c r="K64" i="8"/>
  <c r="J64" i="8"/>
  <c r="K63" i="8"/>
  <c r="J63" i="8"/>
  <c r="K62" i="8"/>
  <c r="J62" i="8"/>
  <c r="K61" i="8"/>
  <c r="J61" i="8"/>
  <c r="K60" i="8"/>
  <c r="J60" i="8"/>
  <c r="K59" i="8"/>
  <c r="J59" i="8"/>
  <c r="K58" i="8"/>
  <c r="J58" i="8"/>
  <c r="K57" i="8"/>
  <c r="J57" i="8"/>
  <c r="K56" i="8"/>
  <c r="J56" i="8"/>
  <c r="K55" i="8"/>
  <c r="J55" i="8"/>
  <c r="I55" i="8"/>
  <c r="K54" i="8"/>
  <c r="J54" i="8"/>
  <c r="K53" i="8"/>
  <c r="J53" i="8"/>
  <c r="K52" i="8"/>
  <c r="J52" i="8"/>
  <c r="K51" i="8"/>
  <c r="J51" i="8"/>
  <c r="K50" i="8"/>
  <c r="J50" i="8"/>
  <c r="K49" i="8"/>
  <c r="J49" i="8"/>
  <c r="K48" i="8"/>
  <c r="J48" i="8"/>
  <c r="K47" i="8"/>
  <c r="J47" i="8"/>
  <c r="K46" i="8"/>
  <c r="J46" i="8"/>
  <c r="K45" i="8"/>
  <c r="J45" i="8"/>
  <c r="K44" i="8"/>
  <c r="J44" i="8"/>
  <c r="K43" i="8"/>
  <c r="J43" i="8"/>
  <c r="K42" i="8"/>
  <c r="J42" i="8"/>
  <c r="K41" i="8"/>
  <c r="J41" i="8"/>
  <c r="K40" i="8"/>
  <c r="J40" i="8"/>
  <c r="K39" i="8"/>
  <c r="J39" i="8"/>
  <c r="K38" i="8"/>
  <c r="J38" i="8"/>
  <c r="K37" i="8"/>
  <c r="J37" i="8"/>
  <c r="K36" i="8"/>
  <c r="J36" i="8"/>
  <c r="K35" i="8"/>
  <c r="J35" i="8"/>
  <c r="K34" i="8"/>
  <c r="J34" i="8"/>
  <c r="K33" i="8"/>
  <c r="J33" i="8"/>
  <c r="K32" i="8"/>
  <c r="J32" i="8"/>
  <c r="K31" i="8"/>
  <c r="J31" i="8"/>
  <c r="K30" i="8"/>
  <c r="J30" i="8"/>
  <c r="K29" i="8"/>
  <c r="J29" i="8"/>
  <c r="K28" i="8"/>
  <c r="J28" i="8"/>
  <c r="K27" i="8"/>
  <c r="J27" i="8"/>
  <c r="K26" i="8"/>
  <c r="J26" i="8"/>
  <c r="K25" i="8"/>
  <c r="J25" i="8"/>
  <c r="K24" i="8"/>
  <c r="J24" i="8"/>
  <c r="K23" i="8"/>
  <c r="J23" i="8"/>
  <c r="K22" i="8"/>
  <c r="J22" i="8"/>
  <c r="K21" i="8"/>
  <c r="J21" i="8"/>
  <c r="K20" i="8"/>
  <c r="J20" i="8"/>
  <c r="K19" i="8"/>
  <c r="J19" i="8"/>
  <c r="K18" i="8"/>
  <c r="J18" i="8"/>
  <c r="K17" i="8"/>
  <c r="J17" i="8"/>
  <c r="K16" i="8"/>
  <c r="J16" i="8"/>
  <c r="K15" i="8"/>
  <c r="J15" i="8"/>
  <c r="K14" i="8"/>
  <c r="J14" i="8"/>
  <c r="I14" i="8"/>
  <c r="K13" i="8"/>
  <c r="J13" i="8"/>
  <c r="I13" i="8"/>
  <c r="K12" i="8"/>
  <c r="J12" i="8"/>
  <c r="K11" i="8"/>
  <c r="J11" i="8"/>
  <c r="K10" i="8"/>
  <c r="J10" i="8"/>
  <c r="K9" i="8"/>
  <c r="J9" i="8"/>
  <c r="K8" i="8"/>
  <c r="J8" i="8"/>
  <c r="K7" i="8"/>
  <c r="J7" i="8"/>
  <c r="K6" i="8"/>
  <c r="J6" i="8"/>
  <c r="K5" i="8"/>
  <c r="K4" i="8"/>
  <c r="K3" i="8"/>
  <c r="K2" i="8"/>
  <c r="D2" i="8"/>
  <c r="D3" i="8"/>
  <c r="D4" i="8"/>
  <c r="D5" i="8"/>
  <c r="C5" i="8"/>
  <c r="E151" i="8"/>
  <c r="D151" i="8"/>
  <c r="E150" i="8"/>
  <c r="D150" i="8"/>
  <c r="E149" i="8"/>
  <c r="D149" i="8"/>
  <c r="E148" i="8"/>
  <c r="D148" i="8"/>
  <c r="E147" i="8"/>
  <c r="D147" i="8"/>
  <c r="E146" i="8"/>
  <c r="D146" i="8"/>
  <c r="E145" i="8"/>
  <c r="D145" i="8"/>
  <c r="E144" i="8"/>
  <c r="D144" i="8"/>
  <c r="E143" i="8"/>
  <c r="D143" i="8"/>
  <c r="E142" i="8"/>
  <c r="D142" i="8"/>
  <c r="E141" i="8"/>
  <c r="D141" i="8"/>
  <c r="E140" i="8"/>
  <c r="D140" i="8"/>
  <c r="E139" i="8"/>
  <c r="D139" i="8"/>
  <c r="E138" i="8"/>
  <c r="D138" i="8"/>
  <c r="E137" i="8"/>
  <c r="D137" i="8"/>
  <c r="E136" i="8"/>
  <c r="D136" i="8"/>
  <c r="E135" i="8"/>
  <c r="D135" i="8"/>
  <c r="E134" i="8"/>
  <c r="D134" i="8"/>
  <c r="E133" i="8"/>
  <c r="D133" i="8"/>
  <c r="E132" i="8"/>
  <c r="D132" i="8"/>
  <c r="E131" i="8"/>
  <c r="D131" i="8"/>
  <c r="C131" i="8"/>
  <c r="E130" i="8"/>
  <c r="D130" i="8"/>
  <c r="E129" i="8"/>
  <c r="D129" i="8"/>
  <c r="E128" i="8"/>
  <c r="D128" i="8"/>
  <c r="E127" i="8"/>
  <c r="D127" i="8"/>
  <c r="E126" i="8"/>
  <c r="D126" i="8"/>
  <c r="E125" i="8"/>
  <c r="D125" i="8"/>
  <c r="E124" i="8"/>
  <c r="D124" i="8"/>
  <c r="E123" i="8"/>
  <c r="D123" i="8"/>
  <c r="E122" i="8"/>
  <c r="D122" i="8"/>
  <c r="C122" i="8"/>
  <c r="E121" i="8"/>
  <c r="D121" i="8"/>
  <c r="E120" i="8"/>
  <c r="D120" i="8"/>
  <c r="E119" i="8"/>
  <c r="D119" i="8"/>
  <c r="E118" i="8"/>
  <c r="D118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E109" i="8"/>
  <c r="D109" i="8"/>
  <c r="E108" i="8"/>
  <c r="D108" i="8"/>
  <c r="E107" i="8"/>
  <c r="D107" i="8"/>
  <c r="E106" i="8"/>
  <c r="D106" i="8"/>
  <c r="E105" i="8"/>
  <c r="D105" i="8"/>
  <c r="E104" i="8"/>
  <c r="D104" i="8"/>
  <c r="E103" i="8"/>
  <c r="D103" i="8"/>
  <c r="E102" i="8"/>
  <c r="D102" i="8"/>
  <c r="E101" i="8"/>
  <c r="D101" i="8"/>
  <c r="E100" i="8"/>
  <c r="D100" i="8"/>
  <c r="E99" i="8"/>
  <c r="D99" i="8"/>
  <c r="E98" i="8"/>
  <c r="D98" i="8"/>
  <c r="E97" i="8"/>
  <c r="D97" i="8"/>
  <c r="E96" i="8"/>
  <c r="D96" i="8"/>
  <c r="E95" i="8"/>
  <c r="D95" i="8"/>
  <c r="E94" i="8"/>
  <c r="D94" i="8"/>
  <c r="E93" i="8"/>
  <c r="D93" i="8"/>
  <c r="E92" i="8"/>
  <c r="D92" i="8"/>
  <c r="E91" i="8"/>
  <c r="D91" i="8"/>
  <c r="E90" i="8"/>
  <c r="D90" i="8"/>
  <c r="E89" i="8"/>
  <c r="D89" i="8"/>
  <c r="E88" i="8"/>
  <c r="D88" i="8"/>
  <c r="E87" i="8"/>
  <c r="D87" i="8"/>
  <c r="E86" i="8"/>
  <c r="D86" i="8"/>
  <c r="E85" i="8"/>
  <c r="D85" i="8"/>
  <c r="E84" i="8"/>
  <c r="D84" i="8"/>
  <c r="E83" i="8"/>
  <c r="D83" i="8"/>
  <c r="E82" i="8"/>
  <c r="D82" i="8"/>
  <c r="E81" i="8"/>
  <c r="D81" i="8"/>
  <c r="E80" i="8"/>
  <c r="D80" i="8"/>
  <c r="E79" i="8"/>
  <c r="D79" i="8"/>
  <c r="E78" i="8"/>
  <c r="D78" i="8"/>
  <c r="E77" i="8"/>
  <c r="D77" i="8"/>
  <c r="E76" i="8"/>
  <c r="D76" i="8"/>
  <c r="E75" i="8"/>
  <c r="D75" i="8"/>
  <c r="E74" i="8"/>
  <c r="D74" i="8"/>
  <c r="E73" i="8"/>
  <c r="D73" i="8"/>
  <c r="E72" i="8"/>
  <c r="D72" i="8"/>
  <c r="C72" i="8"/>
  <c r="E71" i="8"/>
  <c r="D71" i="8"/>
  <c r="E70" i="8"/>
  <c r="D70" i="8"/>
  <c r="E69" i="8"/>
  <c r="D69" i="8"/>
  <c r="E68" i="8"/>
  <c r="D68" i="8"/>
  <c r="E67" i="8"/>
  <c r="D67" i="8"/>
  <c r="E66" i="8"/>
  <c r="D66" i="8"/>
  <c r="E65" i="8"/>
  <c r="D65" i="8"/>
  <c r="E64" i="8"/>
  <c r="D64" i="8"/>
  <c r="E63" i="8"/>
  <c r="D63" i="8"/>
  <c r="E62" i="8"/>
  <c r="D62" i="8"/>
  <c r="E61" i="8"/>
  <c r="D61" i="8"/>
  <c r="E60" i="8"/>
  <c r="D60" i="8"/>
  <c r="E59" i="8"/>
  <c r="D59" i="8"/>
  <c r="E58" i="8"/>
  <c r="D58" i="8"/>
  <c r="E57" i="8"/>
  <c r="D57" i="8"/>
  <c r="E56" i="8"/>
  <c r="D56" i="8"/>
  <c r="E55" i="8"/>
  <c r="D55" i="8"/>
  <c r="E54" i="8"/>
  <c r="D54" i="8"/>
  <c r="E53" i="8"/>
  <c r="D53" i="8"/>
  <c r="E52" i="8"/>
  <c r="D52" i="8"/>
  <c r="E51" i="8"/>
  <c r="D51" i="8"/>
  <c r="E50" i="8"/>
  <c r="D50" i="8"/>
  <c r="E49" i="8"/>
  <c r="D49" i="8"/>
  <c r="E48" i="8"/>
  <c r="D48" i="8"/>
  <c r="E47" i="8"/>
  <c r="D47" i="8"/>
  <c r="E46" i="8"/>
  <c r="D46" i="8"/>
  <c r="E45" i="8"/>
  <c r="D45" i="8"/>
  <c r="E44" i="8"/>
  <c r="D44" i="8"/>
  <c r="E43" i="8"/>
  <c r="D43" i="8"/>
  <c r="E42" i="8"/>
  <c r="D42" i="8"/>
  <c r="E41" i="8"/>
  <c r="D41" i="8"/>
  <c r="E40" i="8"/>
  <c r="D40" i="8"/>
  <c r="E39" i="8"/>
  <c r="D39" i="8"/>
  <c r="E38" i="8"/>
  <c r="D38" i="8"/>
  <c r="E37" i="8"/>
  <c r="D37" i="8"/>
  <c r="C37" i="8"/>
  <c r="E36" i="8"/>
  <c r="D36" i="8"/>
  <c r="E35" i="8"/>
  <c r="D35" i="8"/>
  <c r="E34" i="8"/>
  <c r="D34" i="8"/>
  <c r="E33" i="8"/>
  <c r="D33" i="8"/>
  <c r="E32" i="8"/>
  <c r="D32" i="8"/>
  <c r="E31" i="8"/>
  <c r="D31" i="8"/>
  <c r="E30" i="8"/>
  <c r="D30" i="8"/>
  <c r="E29" i="8"/>
  <c r="D29" i="8"/>
  <c r="E28" i="8"/>
  <c r="D28" i="8"/>
  <c r="E27" i="8"/>
  <c r="D27" i="8"/>
  <c r="E26" i="8"/>
  <c r="D26" i="8"/>
  <c r="E25" i="8"/>
  <c r="D25" i="8"/>
  <c r="E24" i="8"/>
  <c r="D24" i="8"/>
  <c r="E23" i="8"/>
  <c r="D23" i="8"/>
  <c r="E22" i="8"/>
  <c r="D22" i="8"/>
  <c r="E21" i="8"/>
  <c r="D21" i="8"/>
  <c r="E20" i="8"/>
  <c r="D20" i="8"/>
  <c r="C20" i="8"/>
  <c r="E19" i="8"/>
  <c r="D19" i="8"/>
  <c r="E18" i="8"/>
  <c r="D18" i="8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E6" i="8"/>
  <c r="D6" i="8"/>
  <c r="E5" i="8"/>
  <c r="E4" i="8"/>
  <c r="E3" i="8"/>
  <c r="E2" i="8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L2" i="6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R8" i="5"/>
  <c r="B8" i="5"/>
  <c r="R7" i="5"/>
  <c r="B7" i="5"/>
  <c r="R6" i="5"/>
  <c r="B6" i="5"/>
  <c r="L2" i="5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J6" i="2"/>
  <c r="J7" i="2"/>
  <c r="J8" i="2"/>
  <c r="J9" i="2"/>
  <c r="J21" i="2"/>
  <c r="J20" i="2"/>
  <c r="J19" i="2"/>
  <c r="J18" i="2"/>
  <c r="J17" i="2"/>
  <c r="J16" i="2"/>
  <c r="J15" i="2"/>
  <c r="J14" i="2"/>
  <c r="J13" i="2"/>
  <c r="J12" i="2"/>
  <c r="J11" i="2"/>
  <c r="J10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O15" i="3"/>
  <c r="O14" i="3"/>
  <c r="O13" i="3"/>
  <c r="O12" i="3"/>
  <c r="O11" i="3"/>
  <c r="O10" i="3"/>
  <c r="O9" i="3"/>
  <c r="O8" i="3"/>
  <c r="O7" i="3"/>
  <c r="O6" i="3"/>
  <c r="L2" i="3"/>
  <c r="N2" i="2"/>
  <c r="C39" i="1"/>
  <c r="C38" i="1"/>
  <c r="I37" i="1"/>
  <c r="H37" i="1"/>
  <c r="G37" i="1"/>
  <c r="F37" i="1"/>
  <c r="C37" i="1"/>
  <c r="I36" i="1"/>
  <c r="H36" i="1"/>
  <c r="G36" i="1"/>
  <c r="F36" i="1"/>
  <c r="C36" i="1"/>
  <c r="C35" i="1"/>
  <c r="H20" i="1"/>
  <c r="G20" i="1"/>
  <c r="F20" i="1"/>
  <c r="E20" i="1"/>
  <c r="D20" i="1"/>
  <c r="H19" i="1"/>
  <c r="G19" i="1"/>
  <c r="F19" i="1"/>
  <c r="E19" i="1"/>
  <c r="D19" i="1"/>
  <c r="H18" i="1"/>
  <c r="G18" i="1"/>
  <c r="F18" i="1"/>
  <c r="E18" i="1"/>
  <c r="D18" i="1"/>
  <c r="H17" i="1"/>
  <c r="G17" i="1"/>
  <c r="F17" i="1"/>
  <c r="E17" i="1"/>
  <c r="D17" i="1"/>
  <c r="H16" i="1"/>
  <c r="G16" i="1"/>
  <c r="F16" i="1"/>
  <c r="E16" i="1"/>
  <c r="D16" i="1"/>
  <c r="N12" i="1"/>
  <c r="AY108" i="8" l="1"/>
  <c r="AA122" i="8"/>
  <c r="O2" i="8"/>
  <c r="O110" i="8"/>
  <c r="U79" i="8"/>
  <c r="AS38" i="8"/>
  <c r="AG129" i="8"/>
  <c r="U108" i="8"/>
  <c r="U68" i="8"/>
  <c r="O85" i="8"/>
  <c r="AG42" i="8"/>
  <c r="AY109" i="8"/>
  <c r="AG75" i="8"/>
  <c r="AM113" i="8"/>
  <c r="I16" i="8"/>
  <c r="AG76" i="8"/>
  <c r="O131" i="8"/>
  <c r="U82" i="8"/>
  <c r="O39" i="8"/>
  <c r="AA54" i="8"/>
  <c r="I115" i="8"/>
  <c r="AM72" i="8"/>
  <c r="AG58" i="8"/>
  <c r="AY125" i="8"/>
  <c r="AY120" i="8"/>
  <c r="AG136" i="8"/>
  <c r="AA142" i="8"/>
  <c r="AA79" i="8"/>
  <c r="AA33" i="8"/>
  <c r="O23" i="8"/>
  <c r="O80" i="8"/>
  <c r="U126" i="8"/>
  <c r="AS70" i="8"/>
  <c r="I49" i="8"/>
  <c r="AY142" i="8"/>
  <c r="AY80" i="8"/>
  <c r="O126" i="8"/>
  <c r="AA104" i="8"/>
  <c r="AA61" i="8"/>
  <c r="O91" i="8"/>
  <c r="O24" i="8"/>
  <c r="O129" i="8"/>
  <c r="AY141" i="8"/>
  <c r="AY65" i="8"/>
  <c r="AY45" i="8"/>
  <c r="AY28" i="8"/>
  <c r="AS112" i="8"/>
  <c r="AS109" i="8"/>
  <c r="AS106" i="8"/>
  <c r="AS104" i="8"/>
  <c r="AS95" i="8"/>
  <c r="AS85" i="8"/>
  <c r="AS33" i="8"/>
  <c r="AM118" i="8"/>
  <c r="AY16" i="8"/>
  <c r="AA7" i="8"/>
  <c r="C14" i="8"/>
  <c r="AY79" i="8"/>
  <c r="O93" i="8"/>
  <c r="O42" i="8"/>
  <c r="O19" i="8"/>
  <c r="C148" i="8"/>
  <c r="O43" i="8"/>
  <c r="I48" i="8"/>
  <c r="I15" i="8"/>
  <c r="O75" i="8"/>
  <c r="I11" i="8"/>
  <c r="C100" i="8"/>
  <c r="I60" i="8"/>
  <c r="C8" i="8"/>
  <c r="C15" i="8"/>
  <c r="AY140" i="8"/>
  <c r="AS128" i="8"/>
  <c r="AS127" i="8"/>
  <c r="AS26" i="8"/>
  <c r="O116" i="8"/>
  <c r="O72" i="8"/>
  <c r="AS114" i="8"/>
  <c r="I119" i="8"/>
  <c r="AY15" i="8"/>
  <c r="AY116" i="8"/>
  <c r="AY110" i="8"/>
  <c r="AG70" i="8"/>
  <c r="AA113" i="8"/>
  <c r="I39" i="8"/>
  <c r="U72" i="8"/>
  <c r="AA27" i="8"/>
  <c r="AS77" i="8"/>
  <c r="AS35" i="8"/>
  <c r="AS28" i="8"/>
  <c r="AM3" i="8"/>
  <c r="AM143" i="8"/>
  <c r="AM105" i="8"/>
  <c r="C103" i="8"/>
  <c r="C32" i="8"/>
  <c r="C28" i="8"/>
  <c r="C21" i="8"/>
  <c r="C9" i="8"/>
  <c r="AA5" i="8"/>
  <c r="U25" i="8"/>
  <c r="AS98" i="8"/>
  <c r="AY57" i="8"/>
  <c r="I99" i="8"/>
  <c r="C45" i="8"/>
  <c r="C30" i="8"/>
  <c r="AY71" i="8"/>
  <c r="AY10" i="8"/>
  <c r="AY77" i="8"/>
  <c r="AS138" i="8"/>
  <c r="AY22" i="8"/>
  <c r="AS125" i="8"/>
  <c r="AM122" i="8"/>
  <c r="AY47" i="8"/>
  <c r="AS119" i="8"/>
  <c r="AY56" i="8"/>
  <c r="AS57" i="8"/>
  <c r="AY117" i="8"/>
  <c r="AY40" i="8"/>
  <c r="AS23" i="8"/>
  <c r="AG134" i="8"/>
  <c r="AM70" i="8"/>
  <c r="O132" i="8"/>
  <c r="C40" i="8"/>
  <c r="C26" i="8"/>
  <c r="C16" i="8"/>
  <c r="I28" i="8"/>
  <c r="C127" i="8"/>
  <c r="C24" i="8"/>
  <c r="O37" i="8"/>
  <c r="O20" i="8"/>
  <c r="I69" i="8"/>
  <c r="C7" i="8"/>
  <c r="O17" i="8"/>
  <c r="I43" i="8"/>
  <c r="C115" i="8"/>
  <c r="AS69" i="8"/>
  <c r="AM41" i="8"/>
  <c r="AG10" i="8"/>
  <c r="AA138" i="8"/>
  <c r="AA127" i="8"/>
  <c r="U41" i="8"/>
  <c r="U21" i="8"/>
  <c r="O106" i="8"/>
  <c r="C13" i="8"/>
  <c r="U48" i="8"/>
  <c r="U38" i="8"/>
  <c r="O35" i="8"/>
  <c r="O33" i="8"/>
  <c r="I2" i="8"/>
  <c r="I102" i="8"/>
  <c r="AS86" i="8"/>
  <c r="AS80" i="8"/>
  <c r="AS47" i="8"/>
  <c r="AS25" i="8"/>
  <c r="AM109" i="8"/>
  <c r="AM108" i="8"/>
  <c r="AM61" i="8"/>
  <c r="AG8" i="8"/>
  <c r="AA9" i="8"/>
  <c r="U54" i="8"/>
  <c r="I88" i="8"/>
  <c r="I54" i="8"/>
  <c r="C85" i="8"/>
  <c r="C38" i="8"/>
  <c r="O143" i="8"/>
  <c r="C48" i="8"/>
  <c r="AA40" i="8"/>
  <c r="C35" i="8"/>
  <c r="U50" i="8"/>
  <c r="I84" i="8"/>
  <c r="C61" i="8"/>
  <c r="AS96" i="8"/>
  <c r="AM82" i="8"/>
  <c r="AG13" i="8"/>
  <c r="AA46" i="8"/>
  <c r="U60" i="8"/>
  <c r="C89" i="8"/>
  <c r="C34" i="8"/>
  <c r="AY138" i="8"/>
  <c r="AM31" i="8"/>
  <c r="U149" i="8"/>
  <c r="U81" i="8"/>
  <c r="I57" i="8"/>
  <c r="AY82" i="8"/>
  <c r="AS144" i="8"/>
  <c r="AS121" i="8"/>
  <c r="AS79" i="8"/>
  <c r="AM33" i="8"/>
  <c r="AG17" i="8"/>
  <c r="AA108" i="8"/>
  <c r="AA92" i="8"/>
  <c r="AA85" i="8"/>
  <c r="AA80" i="8"/>
  <c r="AA69" i="8"/>
  <c r="AA13" i="8"/>
  <c r="AY103" i="8"/>
  <c r="AS126" i="8"/>
  <c r="AS74" i="8"/>
  <c r="AM48" i="8"/>
  <c r="AA29" i="8"/>
  <c r="AA8" i="8"/>
  <c r="U32" i="8"/>
  <c r="AM16" i="8"/>
  <c r="AA45" i="8"/>
  <c r="U78" i="8"/>
  <c r="C44" i="8"/>
  <c r="AY124" i="8"/>
  <c r="AS94" i="8"/>
  <c r="AM136" i="8"/>
  <c r="AG41" i="8"/>
  <c r="AG24" i="8"/>
  <c r="U124" i="8"/>
  <c r="O60" i="8"/>
  <c r="I86" i="8"/>
  <c r="AY24" i="8"/>
  <c r="AS145" i="8"/>
  <c r="AS90" i="8"/>
  <c r="AG55" i="8"/>
  <c r="AG7" i="8"/>
  <c r="U97" i="8"/>
  <c r="O98" i="8"/>
  <c r="U88" i="8"/>
  <c r="U53" i="8"/>
  <c r="O123" i="8"/>
  <c r="O87" i="8"/>
  <c r="AS15" i="8"/>
  <c r="U87" i="8"/>
  <c r="O90" i="8"/>
  <c r="AY46" i="8"/>
  <c r="AS32" i="8"/>
  <c r="AG118" i="8"/>
  <c r="AG91" i="8"/>
  <c r="AG34" i="8"/>
  <c r="U84" i="8"/>
  <c r="O125" i="8"/>
  <c r="O44" i="8"/>
  <c r="I76" i="8"/>
  <c r="I73" i="8"/>
  <c r="I62" i="8"/>
  <c r="I59" i="8"/>
  <c r="C39" i="8"/>
  <c r="U80" i="8"/>
  <c r="O22" i="8"/>
  <c r="I118" i="8"/>
  <c r="I64" i="8"/>
  <c r="I40" i="8"/>
  <c r="C109" i="8"/>
  <c r="U62" i="8"/>
  <c r="U17" i="8"/>
  <c r="I94" i="8"/>
  <c r="AY7" i="8"/>
  <c r="AS39" i="8"/>
  <c r="AM4" i="8"/>
  <c r="AM132" i="8"/>
  <c r="AA93" i="8"/>
  <c r="AS61" i="8"/>
  <c r="AS48" i="8"/>
  <c r="AS43" i="8"/>
  <c r="AS12" i="8"/>
  <c r="AG18" i="8"/>
  <c r="AA136" i="8"/>
  <c r="U45" i="8"/>
  <c r="U117" i="8"/>
  <c r="O151" i="8"/>
  <c r="O63" i="8"/>
  <c r="I123" i="8"/>
  <c r="C2" i="8"/>
  <c r="C41" i="8"/>
  <c r="AA14" i="8"/>
  <c r="O109" i="8"/>
  <c r="O41" i="8"/>
  <c r="I27" i="8"/>
  <c r="I21" i="8"/>
  <c r="I19" i="8"/>
  <c r="C144" i="8"/>
  <c r="C142" i="8"/>
  <c r="C95" i="8"/>
  <c r="C65" i="8"/>
  <c r="C42" i="8"/>
  <c r="AS140" i="8"/>
  <c r="U70" i="8"/>
  <c r="I141" i="8"/>
  <c r="I71" i="8"/>
  <c r="AY126" i="8"/>
  <c r="AM126" i="8"/>
  <c r="AM112" i="8"/>
  <c r="AM38" i="8"/>
  <c r="AM17" i="8"/>
  <c r="AG16" i="8"/>
  <c r="AY66" i="8"/>
  <c r="AS19" i="8"/>
  <c r="AM142" i="8"/>
  <c r="AM114" i="8"/>
  <c r="AA146" i="8"/>
  <c r="AA121" i="8"/>
  <c r="U106" i="8"/>
  <c r="U89" i="8"/>
  <c r="U12" i="8"/>
  <c r="O21" i="8"/>
  <c r="I105" i="8"/>
  <c r="I92" i="8"/>
  <c r="I74" i="8"/>
  <c r="C143" i="8"/>
  <c r="C98" i="8"/>
  <c r="C64" i="8"/>
  <c r="AS52" i="8"/>
  <c r="U111" i="8"/>
  <c r="U24" i="8"/>
  <c r="O40" i="8"/>
  <c r="I108" i="8"/>
  <c r="I98" i="8"/>
  <c r="C97" i="8"/>
  <c r="AA107" i="8"/>
  <c r="U7" i="8"/>
  <c r="AG116" i="8"/>
  <c r="AM86" i="8"/>
  <c r="AM32" i="8"/>
  <c r="U112" i="8"/>
  <c r="U94" i="8"/>
  <c r="U90" i="8"/>
  <c r="U83" i="8"/>
  <c r="C104" i="8"/>
  <c r="AS34" i="8"/>
  <c r="AA4" i="8"/>
  <c r="AA120" i="8"/>
  <c r="AA21" i="8"/>
  <c r="U57" i="8"/>
  <c r="O61" i="8"/>
  <c r="O47" i="8"/>
  <c r="C133" i="8"/>
  <c r="AA106" i="8"/>
  <c r="AY72" i="8"/>
  <c r="AS42" i="8"/>
  <c r="AM99" i="8"/>
  <c r="AY75" i="8"/>
  <c r="AS110" i="8"/>
  <c r="AS56" i="8"/>
  <c r="AM73" i="8"/>
  <c r="AG133" i="8"/>
  <c r="AS75" i="8"/>
  <c r="AS30" i="8"/>
  <c r="AM128" i="8"/>
  <c r="AM46" i="8"/>
  <c r="AG145" i="8"/>
  <c r="AG71" i="8"/>
  <c r="AS3" i="8"/>
  <c r="AS83" i="8"/>
  <c r="AM5" i="8"/>
  <c r="AM131" i="8"/>
  <c r="AM115" i="8"/>
  <c r="AM29" i="8"/>
  <c r="AM22" i="8"/>
  <c r="AG125" i="8"/>
  <c r="AS105" i="8"/>
  <c r="AS50" i="8"/>
  <c r="AG143" i="8"/>
  <c r="AG105" i="8"/>
  <c r="AG12" i="8"/>
  <c r="AS139" i="8"/>
  <c r="AS108" i="8"/>
  <c r="AS59" i="8"/>
  <c r="AM98" i="8"/>
  <c r="AG60" i="8"/>
  <c r="AG11" i="8"/>
  <c r="AG72" i="8"/>
  <c r="AA141" i="8"/>
  <c r="U93" i="8"/>
  <c r="U51" i="8"/>
  <c r="U22" i="8"/>
  <c r="O140" i="8"/>
  <c r="O118" i="8"/>
  <c r="O107" i="8"/>
  <c r="I41" i="8"/>
  <c r="C3" i="8"/>
  <c r="C121" i="8"/>
  <c r="AS135" i="8"/>
  <c r="AS63" i="8"/>
  <c r="AM146" i="8"/>
  <c r="AM137" i="8"/>
  <c r="AM123" i="8"/>
  <c r="U138" i="8"/>
  <c r="O77" i="8"/>
  <c r="O70" i="8"/>
  <c r="I6" i="8"/>
  <c r="C59" i="8"/>
  <c r="AS129" i="8"/>
  <c r="AS87" i="8"/>
  <c r="AS51" i="8"/>
  <c r="AM8" i="8"/>
  <c r="AG150" i="8"/>
  <c r="U146" i="8"/>
  <c r="U39" i="8"/>
  <c r="O54" i="8"/>
  <c r="I70" i="8"/>
  <c r="C90" i="8"/>
  <c r="U28" i="8"/>
  <c r="AS130" i="8"/>
  <c r="U127" i="8"/>
  <c r="O112" i="8"/>
  <c r="O68" i="8"/>
  <c r="O36" i="8"/>
  <c r="O18" i="8"/>
  <c r="I110" i="8"/>
  <c r="C105" i="8"/>
  <c r="C92" i="8"/>
  <c r="C87" i="8"/>
  <c r="C77" i="8"/>
  <c r="C74" i="8"/>
  <c r="C71" i="8"/>
  <c r="C67" i="8"/>
  <c r="AY133" i="8"/>
  <c r="AG31" i="8"/>
  <c r="I140" i="8"/>
  <c r="I116" i="8"/>
  <c r="I35" i="8"/>
  <c r="I10" i="8"/>
  <c r="C58" i="8"/>
  <c r="C93" i="8"/>
  <c r="C73" i="8"/>
  <c r="U4" i="8"/>
  <c r="O66" i="8"/>
  <c r="I130" i="8"/>
  <c r="I30" i="8"/>
  <c r="I12" i="8"/>
  <c r="C113" i="8"/>
  <c r="C102" i="8"/>
  <c r="C82" i="8"/>
  <c r="C53" i="8"/>
  <c r="I81" i="8"/>
  <c r="C60" i="8"/>
  <c r="AY50" i="8"/>
  <c r="AY23" i="8"/>
  <c r="AS134" i="8"/>
  <c r="AS103" i="8"/>
  <c r="AS100" i="8"/>
  <c r="AS67" i="8"/>
  <c r="AS55" i="8"/>
  <c r="AY60" i="8"/>
  <c r="AY27" i="8"/>
  <c r="AY12" i="8"/>
  <c r="AS68" i="8"/>
  <c r="AS7" i="8"/>
  <c r="AM100" i="8"/>
  <c r="AY19" i="8"/>
  <c r="AS97" i="8"/>
  <c r="AS89" i="8"/>
  <c r="AY113" i="8"/>
  <c r="AY58" i="8"/>
  <c r="AS4" i="8"/>
  <c r="AG112" i="8"/>
  <c r="O145" i="8"/>
  <c r="AA99" i="8"/>
  <c r="O139" i="8"/>
  <c r="O74" i="8"/>
  <c r="C19" i="8"/>
  <c r="AS120" i="8"/>
  <c r="AA41" i="8"/>
  <c r="AS40" i="8"/>
  <c r="AG146" i="8"/>
  <c r="C31" i="8"/>
  <c r="C18" i="8"/>
  <c r="C22" i="8"/>
  <c r="C6" i="8"/>
  <c r="C29" i="8"/>
  <c r="C25" i="8"/>
  <c r="C10" i="8"/>
  <c r="O11" i="8"/>
  <c r="AG4" i="8"/>
  <c r="O57" i="8"/>
  <c r="O69" i="8"/>
  <c r="O73" i="8"/>
  <c r="F9" i="1"/>
  <c r="AY132" i="8"/>
  <c r="AY91" i="8"/>
  <c r="AY44" i="8"/>
  <c r="AY37" i="8"/>
  <c r="AS49" i="8"/>
  <c r="AM102" i="8"/>
  <c r="AM76" i="8"/>
  <c r="AM49" i="8"/>
  <c r="AG126" i="8"/>
  <c r="AY119" i="8"/>
  <c r="AS6" i="8"/>
  <c r="AM111" i="8"/>
  <c r="AM106" i="8"/>
  <c r="AM74" i="8"/>
  <c r="AS101" i="8"/>
  <c r="AM134" i="8"/>
  <c r="AA47" i="8"/>
  <c r="C11" i="8"/>
  <c r="AY53" i="8"/>
  <c r="U147" i="8"/>
  <c r="U73" i="8"/>
  <c r="O120" i="8"/>
  <c r="O84" i="8"/>
  <c r="AS36" i="8"/>
  <c r="AG151" i="8"/>
  <c r="AG144" i="8"/>
  <c r="AA110" i="8"/>
  <c r="AA77" i="8"/>
  <c r="O96" i="8"/>
  <c r="O104" i="8"/>
  <c r="I95" i="8"/>
  <c r="F12" i="1"/>
  <c r="N9" i="1"/>
  <c r="J9" i="1"/>
  <c r="O146" i="8"/>
  <c r="O133" i="8"/>
  <c r="AS84" i="8"/>
  <c r="AS78" i="8"/>
  <c r="AS65" i="8"/>
  <c r="O114" i="8"/>
  <c r="AY41" i="8"/>
  <c r="AG2" i="8"/>
  <c r="AM94" i="8"/>
  <c r="AM39" i="8"/>
  <c r="AG135" i="8"/>
  <c r="AG113" i="8"/>
  <c r="AA148" i="8"/>
  <c r="O12" i="8"/>
  <c r="AY107" i="8"/>
  <c r="AY52" i="8"/>
  <c r="AS71" i="8"/>
  <c r="AS10" i="8"/>
  <c r="AM149" i="8"/>
  <c r="AM148" i="8"/>
  <c r="AM117" i="8"/>
  <c r="AM43" i="8"/>
  <c r="AM12" i="8"/>
  <c r="AG35" i="8"/>
  <c r="AG9" i="8"/>
  <c r="AA78" i="8"/>
  <c r="AA52" i="8"/>
  <c r="AA16" i="8"/>
  <c r="O135" i="8"/>
  <c r="O95" i="8"/>
  <c r="O86" i="8"/>
  <c r="O50" i="8"/>
  <c r="O38" i="8"/>
  <c r="O8" i="8"/>
  <c r="AS44" i="8"/>
  <c r="AS16" i="8"/>
  <c r="AM151" i="8"/>
  <c r="AM133" i="8"/>
  <c r="AM97" i="8"/>
  <c r="AG130" i="8"/>
  <c r="AG67" i="8"/>
  <c r="AA115" i="8"/>
  <c r="AA98" i="8"/>
  <c r="AA96" i="8"/>
  <c r="U135" i="8"/>
  <c r="O136" i="8"/>
  <c r="O31" i="8"/>
  <c r="O27" i="8"/>
  <c r="AM135" i="8"/>
  <c r="AM15" i="8"/>
  <c r="AG68" i="8"/>
  <c r="AG52" i="8"/>
  <c r="AA43" i="8"/>
  <c r="AA23" i="8"/>
  <c r="U144" i="8"/>
  <c r="O113" i="8"/>
  <c r="O88" i="8"/>
  <c r="O82" i="8"/>
  <c r="O64" i="8"/>
  <c r="AA75" i="8"/>
  <c r="C75" i="8"/>
  <c r="AS92" i="8"/>
  <c r="AM36" i="8"/>
  <c r="AM30" i="8"/>
  <c r="AA143" i="8"/>
  <c r="C46" i="8"/>
  <c r="AS64" i="8"/>
  <c r="AA51" i="8"/>
  <c r="AA48" i="8"/>
  <c r="AS147" i="8"/>
  <c r="AS73" i="8"/>
  <c r="AM125" i="8"/>
  <c r="I20" i="8"/>
  <c r="C99" i="8"/>
  <c r="C134" i="8"/>
  <c r="AY42" i="8"/>
  <c r="AS131" i="8"/>
  <c r="AS124" i="8"/>
  <c r="AM66" i="8"/>
  <c r="AM58" i="8"/>
  <c r="AM35" i="8"/>
  <c r="AM11" i="8"/>
  <c r="AG141" i="8"/>
  <c r="AG137" i="8"/>
  <c r="AG100" i="8"/>
  <c r="AG81" i="8"/>
  <c r="AG33" i="8"/>
  <c r="AA123" i="8"/>
  <c r="AA15" i="8"/>
  <c r="U115" i="8"/>
  <c r="U92" i="8"/>
  <c r="U91" i="8"/>
  <c r="U33" i="8"/>
  <c r="U11" i="8"/>
  <c r="O134" i="8"/>
  <c r="O99" i="8"/>
  <c r="AS93" i="8"/>
  <c r="AM45" i="8"/>
  <c r="AM77" i="8"/>
  <c r="U59" i="8"/>
  <c r="AA53" i="8"/>
  <c r="O89" i="8"/>
  <c r="AY2" i="8"/>
  <c r="O32" i="8"/>
  <c r="I129" i="8"/>
  <c r="I124" i="8"/>
  <c r="O34" i="8"/>
  <c r="U150" i="8"/>
  <c r="AA30" i="8"/>
  <c r="AA131" i="8"/>
  <c r="U131" i="8"/>
  <c r="U76" i="8"/>
  <c r="U42" i="8"/>
  <c r="U15" i="8"/>
  <c r="O13" i="8"/>
  <c r="U44" i="8"/>
  <c r="O101" i="8"/>
  <c r="O7" i="8"/>
  <c r="I125" i="8"/>
  <c r="U142" i="8"/>
  <c r="AA137" i="8"/>
  <c r="AA101" i="8"/>
  <c r="U141" i="8"/>
  <c r="U121" i="8"/>
  <c r="U86" i="8"/>
  <c r="O144" i="8"/>
  <c r="O117" i="8"/>
  <c r="AG47" i="8"/>
  <c r="AM9" i="8"/>
  <c r="AG25" i="8"/>
  <c r="AA90" i="8"/>
  <c r="AA81" i="8"/>
  <c r="U47" i="8"/>
  <c r="O128" i="8"/>
  <c r="I139" i="8"/>
  <c r="AG54" i="8"/>
  <c r="U23" i="8"/>
  <c r="AM84" i="8"/>
  <c r="I131" i="8"/>
  <c r="AY3" i="8"/>
  <c r="AM150" i="8"/>
  <c r="AM127" i="8"/>
  <c r="AM124" i="8"/>
  <c r="AG22" i="8"/>
  <c r="AG20" i="8"/>
  <c r="AA150" i="8"/>
  <c r="AA147" i="8"/>
  <c r="AA133" i="8"/>
  <c r="I128" i="8"/>
  <c r="U14" i="8"/>
  <c r="I36" i="8"/>
  <c r="I120" i="8"/>
  <c r="C17" i="8"/>
  <c r="AG80" i="8"/>
  <c r="AA149" i="8"/>
  <c r="AA97" i="8"/>
  <c r="AA39" i="8"/>
  <c r="AA34" i="8"/>
  <c r="U151" i="8"/>
  <c r="U143" i="8"/>
  <c r="U125" i="8"/>
  <c r="U119" i="8"/>
  <c r="U71" i="8"/>
  <c r="U69" i="8"/>
  <c r="U67" i="8"/>
  <c r="U49" i="8"/>
  <c r="U31" i="8"/>
  <c r="AY121" i="8"/>
  <c r="AM28" i="8"/>
  <c r="AG109" i="8"/>
  <c r="AG49" i="8"/>
  <c r="AG48" i="8"/>
  <c r="AG40" i="8"/>
  <c r="AA74" i="8"/>
  <c r="AA31" i="8"/>
  <c r="AA25" i="8"/>
  <c r="AA22" i="8"/>
  <c r="AA20" i="8"/>
  <c r="U137" i="8"/>
  <c r="U129" i="8"/>
  <c r="U114" i="8"/>
  <c r="U52" i="8"/>
  <c r="AG45" i="8"/>
  <c r="AA72" i="8"/>
  <c r="AA35" i="8"/>
  <c r="U107" i="8"/>
  <c r="U40" i="8"/>
  <c r="U29" i="8"/>
  <c r="AM44" i="8"/>
  <c r="AA124" i="8"/>
  <c r="AA89" i="8"/>
  <c r="AA76" i="8"/>
  <c r="AA24" i="8"/>
  <c r="AA18" i="8"/>
  <c r="AA12" i="8"/>
  <c r="U5" i="8"/>
  <c r="U145" i="8"/>
  <c r="U140" i="8"/>
  <c r="U43" i="8"/>
  <c r="U35" i="8"/>
  <c r="U34" i="8"/>
  <c r="AS53" i="8"/>
  <c r="AG74" i="8"/>
  <c r="AA140" i="8"/>
  <c r="U65" i="8"/>
  <c r="AM145" i="8"/>
  <c r="AA111" i="8"/>
  <c r="AA37" i="8"/>
  <c r="U105" i="8"/>
  <c r="C23" i="8"/>
  <c r="AY51" i="8"/>
  <c r="AY130" i="8"/>
  <c r="AG79" i="8"/>
  <c r="AA105" i="8"/>
  <c r="AA44" i="8"/>
  <c r="U55" i="8"/>
  <c r="U27" i="8"/>
  <c r="U26" i="8"/>
  <c r="U8" i="8"/>
  <c r="O141" i="8"/>
  <c r="O111" i="8"/>
  <c r="O53" i="8"/>
  <c r="U18" i="8"/>
  <c r="AY150" i="8"/>
  <c r="I68" i="8"/>
  <c r="AY136" i="8"/>
  <c r="C83" i="8"/>
  <c r="AY112" i="8"/>
  <c r="AY139" i="8"/>
  <c r="AY111" i="8"/>
  <c r="AS107" i="8"/>
  <c r="AM90" i="8"/>
  <c r="AA65" i="8"/>
  <c r="U10" i="8"/>
  <c r="U9" i="8"/>
  <c r="U6" i="8"/>
  <c r="O51" i="8"/>
  <c r="I58" i="8"/>
  <c r="I52" i="8"/>
  <c r="C146" i="8"/>
  <c r="C107" i="8"/>
  <c r="C86" i="8"/>
  <c r="AY54" i="8"/>
  <c r="AM51" i="8"/>
  <c r="AM27" i="8"/>
  <c r="U13" i="8"/>
  <c r="O130" i="8"/>
  <c r="C79" i="8"/>
  <c r="AS148" i="8"/>
  <c r="AA130" i="8"/>
  <c r="AA86" i="8"/>
  <c r="AA17" i="8"/>
  <c r="AA6" i="8"/>
  <c r="O121" i="8"/>
  <c r="O115" i="8"/>
  <c r="O76" i="8"/>
  <c r="O58" i="8"/>
  <c r="I109" i="8"/>
  <c r="I82" i="8"/>
  <c r="C140" i="8"/>
  <c r="C76" i="8"/>
  <c r="C70" i="8"/>
  <c r="C57" i="8"/>
  <c r="C50" i="8"/>
  <c r="C36" i="8"/>
  <c r="C27" i="8"/>
  <c r="AG30" i="8"/>
  <c r="AG15" i="8"/>
  <c r="AA129" i="8"/>
  <c r="AA64" i="8"/>
  <c r="U120" i="8"/>
  <c r="U99" i="8"/>
  <c r="U66" i="8"/>
  <c r="O122" i="8"/>
  <c r="O94" i="8"/>
  <c r="O62" i="8"/>
  <c r="O55" i="8"/>
  <c r="I53" i="8"/>
  <c r="C55" i="8"/>
  <c r="C33" i="8"/>
  <c r="O2" i="4" a="1"/>
  <c r="N2" i="4" a="1"/>
  <c r="U109" i="8"/>
  <c r="U85" i="8"/>
  <c r="AM67" i="8"/>
  <c r="AM55" i="8"/>
  <c r="U46" i="8"/>
  <c r="U16" i="8"/>
  <c r="AS54" i="8"/>
  <c r="AS8" i="8"/>
  <c r="AG147" i="8"/>
  <c r="AG94" i="8"/>
  <c r="AY106" i="8"/>
  <c r="AS45" i="8"/>
  <c r="AM120" i="8"/>
  <c r="AG103" i="8"/>
  <c r="AS37" i="8"/>
  <c r="AS21" i="8"/>
  <c r="AM144" i="8"/>
  <c r="AM80" i="8"/>
  <c r="AM63" i="8"/>
  <c r="AG87" i="8"/>
  <c r="AM138" i="8"/>
  <c r="AM85" i="8"/>
  <c r="AM68" i="8"/>
  <c r="AM21" i="8"/>
  <c r="AG98" i="8"/>
  <c r="AG83" i="8"/>
  <c r="AM139" i="8"/>
  <c r="AM78" i="8"/>
  <c r="AG122" i="8"/>
  <c r="AG96" i="8"/>
  <c r="AG93" i="8"/>
  <c r="AG107" i="8"/>
  <c r="AG82" i="8"/>
  <c r="AM14" i="8"/>
  <c r="AG117" i="8"/>
  <c r="AG90" i="8"/>
  <c r="AG44" i="8"/>
  <c r="AM57" i="8"/>
  <c r="AM34" i="8"/>
  <c r="AM25" i="8"/>
  <c r="AG111" i="8"/>
  <c r="AG108" i="8"/>
  <c r="AG101" i="8"/>
  <c r="AG36" i="8"/>
  <c r="L2" i="4" a="1"/>
  <c r="AM56" i="8"/>
  <c r="AM52" i="8"/>
  <c r="AM47" i="8"/>
  <c r="AM19" i="8"/>
  <c r="AG139" i="8"/>
  <c r="AG46" i="8"/>
  <c r="AG38" i="8"/>
  <c r="AM104" i="8"/>
  <c r="AM42" i="8"/>
  <c r="AM37" i="8"/>
  <c r="AM24" i="8"/>
  <c r="AM23" i="8"/>
  <c r="AG131" i="8"/>
  <c r="AG115" i="8"/>
  <c r="AG51" i="8"/>
  <c r="AG43" i="8"/>
  <c r="AG29" i="8"/>
  <c r="AM110" i="8"/>
  <c r="AM54" i="8"/>
  <c r="AM50" i="8"/>
  <c r="AG102" i="8"/>
  <c r="J12" i="1"/>
  <c r="AG149" i="8"/>
  <c r="AG89" i="8"/>
  <c r="AG88" i="8"/>
  <c r="AA66" i="8"/>
  <c r="B8" i="1"/>
  <c r="K7" i="2"/>
  <c r="AG148" i="8"/>
  <c r="AG127" i="8"/>
  <c r="AG110" i="8"/>
  <c r="AG95" i="8"/>
  <c r="AG56" i="8"/>
  <c r="AG28" i="8"/>
  <c r="U136" i="8"/>
  <c r="U116" i="8"/>
  <c r="U113" i="8"/>
  <c r="U110" i="8"/>
  <c r="AM81" i="8"/>
  <c r="AM71" i="8"/>
  <c r="AM13" i="8"/>
  <c r="AG128" i="8"/>
  <c r="AG64" i="8"/>
  <c r="AG63" i="8"/>
  <c r="AG50" i="8"/>
  <c r="AG32" i="8"/>
  <c r="AA132" i="8"/>
  <c r="AA125" i="8"/>
  <c r="U118" i="8"/>
  <c r="U104" i="8"/>
  <c r="U100" i="8"/>
  <c r="AM92" i="8"/>
  <c r="AM75" i="8"/>
  <c r="AM59" i="8"/>
  <c r="AM20" i="8"/>
  <c r="AM10" i="8"/>
  <c r="AM6" i="8"/>
  <c r="AG114" i="8"/>
  <c r="AG99" i="8"/>
  <c r="AG61" i="8"/>
  <c r="AG59" i="8"/>
  <c r="AG37" i="8"/>
  <c r="U139" i="8"/>
  <c r="U128" i="8"/>
  <c r="U123" i="8"/>
  <c r="U102" i="8"/>
  <c r="U101" i="8"/>
  <c r="U98" i="8"/>
  <c r="K17" i="2"/>
  <c r="K14" i="2"/>
  <c r="K12" i="2"/>
  <c r="I2" i="3"/>
  <c r="F8" i="1" s="1"/>
  <c r="K11" i="2"/>
  <c r="U130" i="8"/>
  <c r="U122" i="8"/>
  <c r="U103" i="8"/>
  <c r="U96" i="8"/>
  <c r="K21" i="2"/>
  <c r="K18" i="2"/>
  <c r="AA117" i="8"/>
  <c r="K13" i="2"/>
  <c r="O97" i="8"/>
  <c r="O67" i="8"/>
  <c r="C141" i="8"/>
  <c r="C43" i="8"/>
  <c r="O26" i="8"/>
  <c r="I66" i="8"/>
  <c r="C125" i="8"/>
  <c r="C12" i="8"/>
  <c r="K9" i="2"/>
  <c r="K20" i="2"/>
  <c r="K19" i="2"/>
  <c r="K16" i="2"/>
  <c r="M2" i="4" a="1"/>
  <c r="K15" i="2"/>
  <c r="K10" i="2"/>
  <c r="M12" i="4" a="1"/>
  <c r="M12" i="4" s="1"/>
  <c r="M13" i="4" a="1"/>
  <c r="M13" i="4" s="1"/>
  <c r="M14" i="4" a="1"/>
  <c r="M14" i="4" s="1"/>
  <c r="M15" i="4" a="1"/>
  <c r="M15" i="4" s="1"/>
  <c r="M16" i="4" a="1"/>
  <c r="M16" i="4" s="1"/>
  <c r="M17" i="4" a="1"/>
  <c r="M17" i="4" s="1"/>
  <c r="AY90" i="8"/>
  <c r="AY81" i="8"/>
  <c r="AY78" i="8"/>
  <c r="AY34" i="8"/>
  <c r="AS2" i="8"/>
  <c r="O142" i="8"/>
  <c r="O119" i="8"/>
  <c r="O105" i="8"/>
  <c r="O83" i="8"/>
  <c r="O29" i="8"/>
  <c r="O28" i="8"/>
  <c r="O15" i="8"/>
  <c r="I5" i="8"/>
  <c r="I147" i="8"/>
  <c r="I135" i="8"/>
  <c r="I111" i="8"/>
  <c r="I75" i="8"/>
  <c r="I67" i="8"/>
  <c r="C119" i="8"/>
  <c r="AY101" i="8"/>
  <c r="AY67" i="8"/>
  <c r="AY11" i="8"/>
  <c r="O78" i="8"/>
  <c r="O56" i="8"/>
  <c r="O45" i="8"/>
  <c r="O30" i="8"/>
  <c r="O9" i="8"/>
  <c r="I4" i="8"/>
  <c r="I150" i="8"/>
  <c r="I149" i="8"/>
  <c r="I121" i="8"/>
  <c r="I104" i="8"/>
  <c r="I101" i="8"/>
  <c r="I97" i="8"/>
  <c r="I93" i="8"/>
  <c r="I77" i="8"/>
  <c r="I50" i="8"/>
  <c r="I46" i="8"/>
  <c r="I31" i="8"/>
  <c r="I22" i="8"/>
  <c r="I8" i="8"/>
  <c r="C139" i="8"/>
  <c r="C137" i="8"/>
  <c r="C128" i="8"/>
  <c r="AM130" i="8"/>
  <c r="AM101" i="8"/>
  <c r="AM95" i="8"/>
  <c r="AM88" i="8"/>
  <c r="AM40" i="8"/>
  <c r="AG138" i="8"/>
  <c r="AG132" i="8"/>
  <c r="AG123" i="8"/>
  <c r="AG121" i="8"/>
  <c r="AG120" i="8"/>
  <c r="AG104" i="8"/>
  <c r="AG78" i="8"/>
  <c r="AG77" i="8"/>
  <c r="AG73" i="8"/>
  <c r="AG69" i="8"/>
  <c r="AG23" i="8"/>
  <c r="AG21" i="8"/>
  <c r="AG6" i="8"/>
  <c r="AA145" i="8"/>
  <c r="AA116" i="8"/>
  <c r="AA112" i="8"/>
  <c r="AA95" i="8"/>
  <c r="AA83" i="8"/>
  <c r="AA73" i="8"/>
  <c r="AA63" i="8"/>
  <c r="AA60" i="8"/>
  <c r="AA55" i="8"/>
  <c r="AA42" i="8"/>
  <c r="AA19" i="8"/>
  <c r="U2" i="8"/>
  <c r="O138" i="8"/>
  <c r="O137" i="8"/>
  <c r="O108" i="8"/>
  <c r="O92" i="8"/>
  <c r="O71" i="8"/>
  <c r="O59" i="8"/>
  <c r="O49" i="8"/>
  <c r="O46" i="8"/>
  <c r="O16" i="8"/>
  <c r="O14" i="8"/>
  <c r="I3" i="8"/>
  <c r="I144" i="8"/>
  <c r="I126" i="8"/>
  <c r="I96" i="8"/>
  <c r="I56" i="8"/>
  <c r="I45" i="8"/>
  <c r="I29" i="8"/>
  <c r="I26" i="8"/>
  <c r="I7" i="8"/>
  <c r="C145" i="8"/>
  <c r="C136" i="8"/>
  <c r="C130" i="8"/>
  <c r="C116" i="8"/>
  <c r="C111" i="8"/>
  <c r="C106" i="8"/>
  <c r="AS66" i="8"/>
  <c r="AM141" i="8"/>
  <c r="AM129" i="8"/>
  <c r="AM103" i="8"/>
  <c r="AM69" i="8"/>
  <c r="AM65" i="8"/>
  <c r="AM60" i="8"/>
  <c r="AM26" i="8"/>
  <c r="AG119" i="8"/>
  <c r="AG106" i="8"/>
  <c r="AG92" i="8"/>
  <c r="AG84" i="8"/>
  <c r="AG65" i="8"/>
  <c r="AG57" i="8"/>
  <c r="AG53" i="8"/>
  <c r="AG39" i="8"/>
  <c r="AG27" i="8"/>
  <c r="AA151" i="8"/>
  <c r="AA134" i="8"/>
  <c r="AA119" i="8"/>
  <c r="AA118" i="8"/>
  <c r="AA109" i="8"/>
  <c r="AA94" i="8"/>
  <c r="AA91" i="8"/>
  <c r="AA84" i="8"/>
  <c r="AA71" i="8"/>
  <c r="AA58" i="8"/>
  <c r="AA57" i="8"/>
  <c r="AA56" i="8"/>
  <c r="AA50" i="8"/>
  <c r="AA49" i="8"/>
  <c r="AA32" i="8"/>
  <c r="AA26" i="8"/>
  <c r="U3" i="8"/>
  <c r="O3" i="8"/>
  <c r="O4" i="8"/>
  <c r="O5" i="8"/>
  <c r="O149" i="8"/>
  <c r="O148" i="8"/>
  <c r="O79" i="8"/>
  <c r="O52" i="8"/>
  <c r="I63" i="8"/>
  <c r="I44" i="8"/>
  <c r="I24" i="8"/>
  <c r="C123" i="8"/>
  <c r="AM64" i="8"/>
  <c r="AG66" i="8"/>
  <c r="AA70" i="8"/>
  <c r="C149" i="8"/>
  <c r="O147" i="8"/>
  <c r="O127" i="8"/>
  <c r="O103" i="8"/>
  <c r="O81" i="8"/>
  <c r="I148" i="8"/>
  <c r="I47" i="8"/>
  <c r="I25" i="8"/>
  <c r="C124" i="8"/>
  <c r="AA126" i="8"/>
  <c r="I34" i="8"/>
  <c r="U37" i="8"/>
  <c r="O102" i="8"/>
  <c r="O6" i="8"/>
  <c r="C132" i="8"/>
  <c r="K8" i="2"/>
  <c r="I2" i="6"/>
  <c r="N8" i="1" s="1"/>
  <c r="AS132" i="8"/>
  <c r="AS122" i="8"/>
  <c r="AS118" i="8"/>
  <c r="AS117" i="8"/>
  <c r="AS116" i="8"/>
  <c r="AS115" i="8"/>
  <c r="AS113" i="8"/>
  <c r="AS31" i="8"/>
  <c r="AS29" i="8"/>
  <c r="AS27" i="8"/>
  <c r="AS24" i="8"/>
  <c r="AS22" i="8"/>
  <c r="AS20" i="8"/>
  <c r="AS18" i="8"/>
  <c r="AS17" i="8"/>
  <c r="AS14" i="8"/>
  <c r="AS13" i="8"/>
  <c r="AS11" i="8"/>
  <c r="AS9" i="8"/>
  <c r="U75" i="8"/>
  <c r="U74" i="8"/>
  <c r="U64" i="8"/>
  <c r="U63" i="8"/>
  <c r="I151" i="8"/>
  <c r="I146" i="8"/>
  <c r="I145" i="8"/>
  <c r="I143" i="8"/>
  <c r="I142" i="8"/>
  <c r="I138" i="8"/>
  <c r="I137" i="8"/>
  <c r="I136" i="8"/>
  <c r="I133" i="8"/>
  <c r="I132" i="8"/>
  <c r="I127" i="8"/>
  <c r="I122" i="8"/>
  <c r="I103" i="8"/>
  <c r="I91" i="8"/>
  <c r="I90" i="8"/>
  <c r="I89" i="8"/>
  <c r="I85" i="8"/>
  <c r="I83" i="8"/>
  <c r="I72" i="8"/>
  <c r="I65" i="8"/>
  <c r="I51" i="8"/>
  <c r="I38" i="8"/>
  <c r="I32" i="8"/>
  <c r="I23" i="8"/>
  <c r="C151" i="8"/>
  <c r="C150" i="8"/>
  <c r="C138" i="8"/>
  <c r="C135" i="8"/>
  <c r="C129" i="8"/>
  <c r="C126" i="8"/>
  <c r="C118" i="8"/>
  <c r="C117" i="8"/>
  <c r="C114" i="8"/>
  <c r="C112" i="8"/>
  <c r="C110" i="8"/>
  <c r="C96" i="8"/>
  <c r="C78" i="8"/>
  <c r="C69" i="8"/>
  <c r="C68" i="8"/>
  <c r="C66" i="8"/>
  <c r="C63" i="8"/>
  <c r="C54" i="8"/>
  <c r="C52" i="8"/>
  <c r="C47" i="8"/>
  <c r="I112" i="8"/>
  <c r="C84" i="8"/>
  <c r="C56" i="8"/>
  <c r="AG3" i="8"/>
  <c r="AG5" i="8"/>
  <c r="U77" i="8"/>
  <c r="U61" i="8"/>
  <c r="I100" i="8"/>
  <c r="I80" i="8"/>
  <c r="I79" i="8"/>
  <c r="I78" i="8"/>
  <c r="I61" i="8"/>
  <c r="I42" i="8"/>
  <c r="I37" i="8"/>
  <c r="I18" i="8"/>
  <c r="I17" i="8"/>
  <c r="C120" i="8"/>
  <c r="C91" i="8"/>
  <c r="C80" i="8"/>
  <c r="C51" i="8"/>
  <c r="C49" i="8"/>
  <c r="AA2" i="8"/>
  <c r="C4" i="8"/>
  <c r="C81" i="8"/>
  <c r="U58" i="8"/>
  <c r="I134" i="8"/>
  <c r="I117" i="8"/>
  <c r="I107" i="8"/>
  <c r="I106" i="8"/>
  <c r="I9" i="8"/>
  <c r="C101" i="8"/>
  <c r="C88" i="8"/>
  <c r="C147" i="8"/>
  <c r="C94" i="8"/>
  <c r="I113" i="8"/>
  <c r="I33" i="8"/>
  <c r="C108" i="8"/>
  <c r="C62" i="8"/>
  <c r="I2" i="5"/>
  <c r="J8" i="1" s="1"/>
  <c r="K6" i="2"/>
  <c r="L2" i="4" l="1"/>
  <c r="L4" i="4"/>
  <c r="O9" i="4"/>
  <c r="O8" i="4"/>
  <c r="O7" i="4"/>
  <c r="O6" i="4"/>
  <c r="O5" i="4"/>
  <c r="O4" i="4"/>
  <c r="O3" i="4"/>
  <c r="O2" i="4"/>
  <c r="N11" i="4"/>
  <c r="N6" i="4"/>
  <c r="N5" i="4"/>
  <c r="N2" i="4"/>
  <c r="N9" i="4"/>
  <c r="N7" i="4"/>
  <c r="N4" i="4"/>
  <c r="N8" i="4"/>
  <c r="N3" i="4"/>
  <c r="N10" i="4"/>
  <c r="L16" i="4"/>
  <c r="L15" i="4"/>
  <c r="L14" i="4"/>
  <c r="L13" i="4"/>
  <c r="L12" i="4"/>
  <c r="L11" i="4"/>
  <c r="L10" i="4"/>
  <c r="L8" i="4"/>
  <c r="L3" i="4"/>
  <c r="AP61" i="8"/>
  <c r="AP46" i="8"/>
  <c r="AP36" i="8"/>
  <c r="AP27" i="8"/>
  <c r="AP16" i="8"/>
  <c r="L17" i="4"/>
  <c r="L9" i="4"/>
  <c r="AP58" i="8"/>
  <c r="AP52" i="8"/>
  <c r="AP39" i="8"/>
  <c r="AP30" i="8"/>
  <c r="AP21" i="8"/>
  <c r="AP13" i="8"/>
  <c r="L7" i="4"/>
  <c r="L6" i="4"/>
  <c r="L5" i="4"/>
  <c r="AP55" i="8"/>
  <c r="AP49" i="8"/>
  <c r="AP42" i="8"/>
  <c r="AP33" i="8"/>
  <c r="AP24" i="8"/>
  <c r="AP18" i="8"/>
  <c r="AP10" i="8"/>
  <c r="AP7" i="8"/>
  <c r="AP4" i="8"/>
  <c r="AP2" i="8"/>
  <c r="AQ25" i="8"/>
  <c r="AQ21" i="8"/>
  <c r="AP113" i="8"/>
  <c r="AP104" i="8"/>
  <c r="AP98" i="8"/>
  <c r="AP92" i="8"/>
  <c r="AP87" i="8"/>
  <c r="AP83" i="8"/>
  <c r="AP76" i="8"/>
  <c r="AP71" i="8"/>
  <c r="AP65" i="8"/>
  <c r="AP59" i="8"/>
  <c r="AP54" i="8"/>
  <c r="AP48" i="8"/>
  <c r="AP43" i="8"/>
  <c r="AP37" i="8"/>
  <c r="AP31" i="8"/>
  <c r="AP25" i="8"/>
  <c r="AP19" i="8"/>
  <c r="AP15" i="8"/>
  <c r="AP9" i="8"/>
  <c r="AP5" i="8"/>
  <c r="AQ29" i="8"/>
  <c r="AQ22" i="8"/>
  <c r="AP151" i="8"/>
  <c r="AP150" i="8"/>
  <c r="AP149" i="8"/>
  <c r="AP148" i="8"/>
  <c r="AP147" i="8"/>
  <c r="AP146" i="8"/>
  <c r="AP145" i="8"/>
  <c r="AP144" i="8"/>
  <c r="AP143" i="8"/>
  <c r="AP142" i="8"/>
  <c r="AP141" i="8"/>
  <c r="AP140" i="8"/>
  <c r="AP139" i="8"/>
  <c r="AP138" i="8"/>
  <c r="AP137" i="8"/>
  <c r="AP136" i="8"/>
  <c r="AP135" i="8"/>
  <c r="AP134" i="8"/>
  <c r="AP133" i="8"/>
  <c r="AP132" i="8"/>
  <c r="AP131" i="8"/>
  <c r="AP130" i="8"/>
  <c r="AP129" i="8"/>
  <c r="AP128" i="8"/>
  <c r="AP127" i="8"/>
  <c r="AP126" i="8"/>
  <c r="AP125" i="8"/>
  <c r="AP124" i="8"/>
  <c r="AP123" i="8"/>
  <c r="AP122" i="8"/>
  <c r="AP121" i="8"/>
  <c r="AP120" i="8"/>
  <c r="AP119" i="8"/>
  <c r="AP118" i="8"/>
  <c r="AP117" i="8"/>
  <c r="AP115" i="8"/>
  <c r="AP114" i="8"/>
  <c r="AP110" i="8"/>
  <c r="AP108" i="8"/>
  <c r="AP106" i="8"/>
  <c r="AP102" i="8"/>
  <c r="AP100" i="8"/>
  <c r="AP96" i="8"/>
  <c r="AP94" i="8"/>
  <c r="AP90" i="8"/>
  <c r="AP88" i="8"/>
  <c r="AP84" i="8"/>
  <c r="AP81" i="8"/>
  <c r="AP78" i="8"/>
  <c r="AP75" i="8"/>
  <c r="AP72" i="8"/>
  <c r="AP68" i="8"/>
  <c r="AP66" i="8"/>
  <c r="AP62" i="8"/>
  <c r="AP60" i="8"/>
  <c r="AP56" i="8"/>
  <c r="AP53" i="8"/>
  <c r="AP50" i="8"/>
  <c r="AP47" i="8"/>
  <c r="AP44" i="8"/>
  <c r="AP41" i="8"/>
  <c r="AP38" i="8"/>
  <c r="AP35" i="8"/>
  <c r="AP32" i="8"/>
  <c r="AP29" i="8"/>
  <c r="AP26" i="8"/>
  <c r="AP22" i="8"/>
  <c r="AP20" i="8"/>
  <c r="AP14" i="8"/>
  <c r="AP11" i="8"/>
  <c r="AP8" i="8"/>
  <c r="AP3" i="8"/>
  <c r="AV103" i="8"/>
  <c r="AV99" i="8"/>
  <c r="AV95" i="8"/>
  <c r="AV91" i="8"/>
  <c r="AV87" i="8"/>
  <c r="AV83" i="8"/>
  <c r="AV79" i="8"/>
  <c r="AV75" i="8"/>
  <c r="AV72" i="8"/>
  <c r="AV68" i="8"/>
  <c r="AV65" i="8"/>
  <c r="AV61" i="8"/>
  <c r="AV57" i="8"/>
  <c r="AV53" i="8"/>
  <c r="AV49" i="8"/>
  <c r="AV46" i="8"/>
  <c r="AV43" i="8"/>
  <c r="AV39" i="8"/>
  <c r="AV35" i="8"/>
  <c r="AV31" i="8"/>
  <c r="AV27" i="8"/>
  <c r="AV24" i="8"/>
  <c r="AV19" i="8"/>
  <c r="AV14" i="8"/>
  <c r="AV11" i="8"/>
  <c r="AV7" i="8"/>
  <c r="AV3" i="8"/>
  <c r="M10" i="4"/>
  <c r="BC148" i="8"/>
  <c r="BC141" i="8"/>
  <c r="BC117" i="8"/>
  <c r="BC115" i="8"/>
  <c r="BC113" i="8"/>
  <c r="BC111" i="8"/>
  <c r="BC109" i="8"/>
  <c r="BC107" i="8"/>
  <c r="BC106" i="8"/>
  <c r="BC105" i="8"/>
  <c r="BC104" i="8"/>
  <c r="BC103" i="8"/>
  <c r="BC102" i="8"/>
  <c r="BC101" i="8"/>
  <c r="BC100" i="8"/>
  <c r="BC99" i="8"/>
  <c r="BC98" i="8"/>
  <c r="BC92" i="8"/>
  <c r="BC90" i="8"/>
  <c r="BC88" i="8"/>
  <c r="BC86" i="8"/>
  <c r="BC84" i="8"/>
  <c r="BC82" i="8"/>
  <c r="BC80" i="8"/>
  <c r="BC79" i="8"/>
  <c r="BC78" i="8"/>
  <c r="BC77" i="8"/>
  <c r="BC76" i="8"/>
  <c r="S75" i="8"/>
  <c r="S74" i="8"/>
  <c r="S73" i="8"/>
  <c r="BC71" i="8"/>
  <c r="S71" i="8"/>
  <c r="BC69" i="8"/>
  <c r="BC68" i="8"/>
  <c r="BC67" i="8"/>
  <c r="BC66" i="8"/>
  <c r="BC65" i="8"/>
  <c r="BC64" i="8"/>
  <c r="BC63" i="8"/>
  <c r="BC62" i="8"/>
  <c r="BC61" i="8"/>
  <c r="BC60" i="8"/>
  <c r="BC59" i="8"/>
  <c r="BC58" i="8"/>
  <c r="BC57" i="8"/>
  <c r="BC56" i="8"/>
  <c r="BC55" i="8"/>
  <c r="BC54" i="8"/>
  <c r="BC53" i="8"/>
  <c r="BC52" i="8"/>
  <c r="BC51" i="8"/>
  <c r="S50" i="8"/>
  <c r="S49" i="8"/>
  <c r="S48" i="8"/>
  <c r="S47" i="8"/>
  <c r="S46" i="8"/>
  <c r="S45" i="8"/>
  <c r="S44" i="8"/>
  <c r="BC42" i="8"/>
  <c r="BC41" i="8"/>
  <c r="BC40" i="8"/>
  <c r="BC39" i="8"/>
  <c r="BC38" i="8"/>
  <c r="BC37" i="8"/>
  <c r="BC36" i="8"/>
  <c r="BB150" i="8"/>
  <c r="BB149" i="8"/>
  <c r="BB148" i="8"/>
  <c r="BB146" i="8"/>
  <c r="BB145" i="8"/>
  <c r="BB143" i="8"/>
  <c r="BB141" i="8"/>
  <c r="BB139" i="8"/>
  <c r="BB136" i="8"/>
  <c r="BB134" i="8"/>
  <c r="BB132" i="8"/>
  <c r="BB130" i="8"/>
  <c r="BB128" i="8"/>
  <c r="AV98" i="8"/>
  <c r="AV93" i="8"/>
  <c r="AV89" i="8"/>
  <c r="AV85" i="8"/>
  <c r="AV82" i="8"/>
  <c r="AV76" i="8"/>
  <c r="AV64" i="8"/>
  <c r="AV59" i="8"/>
  <c r="AV55" i="8"/>
  <c r="AV51" i="8"/>
  <c r="AV45" i="8"/>
  <c r="AV41" i="8"/>
  <c r="AV36" i="8"/>
  <c r="AV32" i="8"/>
  <c r="AV28" i="8"/>
  <c r="AV22" i="8"/>
  <c r="AV18" i="8"/>
  <c r="AV15" i="8"/>
  <c r="AV9" i="8"/>
  <c r="AV4" i="8"/>
  <c r="M9" i="4"/>
  <c r="M5" i="4"/>
  <c r="M4" i="4"/>
  <c r="M3" i="4"/>
  <c r="M2" i="4"/>
  <c r="M8" i="4"/>
  <c r="M11" i="4"/>
  <c r="M7" i="4"/>
  <c r="M6" i="4"/>
  <c r="BC149" i="8"/>
  <c r="BC147" i="8"/>
  <c r="BC146" i="8"/>
  <c r="BC145" i="8"/>
  <c r="BC144" i="8"/>
  <c r="BC143" i="8"/>
  <c r="BC142" i="8"/>
  <c r="BC119" i="8"/>
  <c r="BC118" i="8"/>
  <c r="BC116" i="8"/>
  <c r="BC114" i="8"/>
  <c r="BC112" i="8"/>
  <c r="BC110" i="8"/>
  <c r="BC108" i="8"/>
  <c r="S108" i="8"/>
  <c r="S107" i="8"/>
  <c r="S106" i="8"/>
  <c r="S105" i="8"/>
  <c r="S104" i="8"/>
  <c r="S103" i="8"/>
  <c r="S102" i="8"/>
  <c r="S101" i="8"/>
  <c r="S100" i="8"/>
  <c r="S99" i="8"/>
  <c r="S98" i="8"/>
  <c r="BC91" i="8"/>
  <c r="BC89" i="8"/>
  <c r="BC87" i="8"/>
  <c r="BC85" i="8"/>
  <c r="BC83" i="8"/>
  <c r="BC81" i="8"/>
  <c r="S80" i="8"/>
  <c r="S79" i="8"/>
  <c r="S78" i="8"/>
  <c r="S77" i="8"/>
  <c r="S76" i="8"/>
  <c r="BC75" i="8"/>
  <c r="BC74" i="8"/>
  <c r="BC73" i="8"/>
  <c r="BC72" i="8"/>
  <c r="S72" i="8"/>
  <c r="BC70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BC50" i="8"/>
  <c r="BC49" i="8"/>
  <c r="BC48" i="8"/>
  <c r="BC47" i="8"/>
  <c r="BC46" i="8"/>
  <c r="BC45" i="8"/>
  <c r="BC44" i="8"/>
  <c r="BC43" i="8"/>
  <c r="S43" i="8"/>
  <c r="S42" i="8"/>
  <c r="S41" i="8"/>
  <c r="S40" i="8"/>
  <c r="S39" i="8"/>
  <c r="S38" i="8"/>
  <c r="S37" i="8"/>
  <c r="BB147" i="8"/>
  <c r="BB144" i="8"/>
  <c r="BB142" i="8"/>
  <c r="BB140" i="8"/>
  <c r="BB138" i="8"/>
  <c r="BB137" i="8"/>
  <c r="BB135" i="8"/>
  <c r="BB133" i="8"/>
  <c r="BB131" i="8"/>
  <c r="BB129" i="8"/>
  <c r="AV102" i="8"/>
  <c r="AV101" i="8"/>
  <c r="AV97" i="8"/>
  <c r="AV94" i="8"/>
  <c r="AV90" i="8"/>
  <c r="AV86" i="8"/>
  <c r="AV81" i="8"/>
  <c r="AV78" i="8"/>
  <c r="AV74" i="8"/>
  <c r="AV71" i="8"/>
  <c r="AV69" i="8"/>
  <c r="AV66" i="8"/>
  <c r="AV62" i="8"/>
  <c r="AV58" i="8"/>
  <c r="AV54" i="8"/>
  <c r="AV50" i="8"/>
  <c r="AV47" i="8"/>
  <c r="AV42" i="8"/>
  <c r="AV38" i="8"/>
  <c r="AV34" i="8"/>
  <c r="AV30" i="8"/>
  <c r="AV26" i="8"/>
  <c r="AV23" i="8"/>
  <c r="AV20" i="8"/>
  <c r="AV16" i="8"/>
  <c r="AV12" i="8"/>
  <c r="AV8" i="8"/>
  <c r="AV6" i="8"/>
  <c r="AV2" i="8"/>
  <c r="BB127" i="8"/>
  <c r="BB126" i="8"/>
  <c r="BB125" i="8"/>
  <c r="BB124" i="8"/>
  <c r="BB123" i="8"/>
  <c r="BB122" i="8"/>
  <c r="BB121" i="8"/>
  <c r="BB120" i="8"/>
  <c r="BB119" i="8"/>
  <c r="BB118" i="8"/>
  <c r="BB117" i="8"/>
  <c r="BB116" i="8"/>
  <c r="BB115" i="8"/>
  <c r="BB114" i="8"/>
  <c r="BB113" i="8"/>
  <c r="BB112" i="8"/>
  <c r="BB111" i="8"/>
  <c r="BB110" i="8"/>
  <c r="BB109" i="8"/>
  <c r="BB108" i="8"/>
  <c r="BB107" i="8"/>
  <c r="BB106" i="8"/>
  <c r="BB105" i="8"/>
  <c r="BB104" i="8"/>
  <c r="BB103" i="8"/>
  <c r="BB102" i="8"/>
  <c r="BB101" i="8"/>
  <c r="BB100" i="8"/>
  <c r="BB99" i="8"/>
  <c r="BB98" i="8"/>
  <c r="BB97" i="8"/>
  <c r="BB96" i="8"/>
  <c r="BB95" i="8"/>
  <c r="BB94" i="8"/>
  <c r="BB93" i="8"/>
  <c r="BB92" i="8"/>
  <c r="BB91" i="8"/>
  <c r="BB90" i="8"/>
  <c r="BB89" i="8"/>
  <c r="BB88" i="8"/>
  <c r="BB87" i="8"/>
  <c r="BB86" i="8"/>
  <c r="BB85" i="8"/>
  <c r="BB84" i="8"/>
  <c r="BB83" i="8"/>
  <c r="BB82" i="8"/>
  <c r="BB81" i="8"/>
  <c r="BB80" i="8"/>
  <c r="BB79" i="8"/>
  <c r="BB78" i="8"/>
  <c r="BB77" i="8"/>
  <c r="BB76" i="8"/>
  <c r="BB75" i="8"/>
  <c r="BB74" i="8"/>
  <c r="BB73" i="8"/>
  <c r="BB72" i="8"/>
  <c r="BB71" i="8"/>
  <c r="BB70" i="8"/>
  <c r="BB69" i="8"/>
  <c r="BB68" i="8"/>
  <c r="BB67" i="8"/>
  <c r="BB66" i="8"/>
  <c r="BB65" i="8"/>
  <c r="BB64" i="8"/>
  <c r="BB63" i="8"/>
  <c r="BB62" i="8"/>
  <c r="BB61" i="8"/>
  <c r="BB60" i="8"/>
  <c r="BB59" i="8"/>
  <c r="BB58" i="8"/>
  <c r="BB57" i="8"/>
  <c r="BB56" i="8"/>
  <c r="BB55" i="8"/>
  <c r="BB54" i="8"/>
  <c r="BB53" i="8"/>
  <c r="BB52" i="8"/>
  <c r="BB51" i="8"/>
  <c r="BB50" i="8"/>
  <c r="BB49" i="8"/>
  <c r="BB48" i="8"/>
  <c r="BB47" i="8"/>
  <c r="BB46" i="8"/>
  <c r="BB45" i="8"/>
  <c r="BB44" i="8"/>
  <c r="BB43" i="8"/>
  <c r="BB42" i="8"/>
  <c r="BB41" i="8"/>
  <c r="BB40" i="8"/>
  <c r="BB39" i="8"/>
  <c r="BB38" i="8"/>
  <c r="BB37" i="8"/>
  <c r="BB36" i="8"/>
  <c r="BB35" i="8"/>
  <c r="BB34" i="8"/>
  <c r="BB33" i="8"/>
  <c r="BB32" i="8"/>
  <c r="BB31" i="8"/>
  <c r="BB30" i="8"/>
  <c r="AP70" i="8"/>
  <c r="AP67" i="8"/>
  <c r="AP64" i="8"/>
  <c r="AV100" i="8"/>
  <c r="AV96" i="8"/>
  <c r="AV92" i="8"/>
  <c r="AV88" i="8"/>
  <c r="AV84" i="8"/>
  <c r="AV80" i="8"/>
  <c r="AV77" i="8"/>
  <c r="AV73" i="8"/>
  <c r="AV70" i="8"/>
  <c r="AV67" i="8"/>
  <c r="AV63" i="8"/>
  <c r="AV60" i="8"/>
  <c r="AV56" i="8"/>
  <c r="AV52" i="8"/>
  <c r="AV48" i="8"/>
  <c r="AV44" i="8"/>
  <c r="AV40" i="8"/>
  <c r="AV37" i="8"/>
  <c r="AV33" i="8"/>
  <c r="AV29" i="8"/>
  <c r="AV25" i="8"/>
  <c r="AV21" i="8"/>
  <c r="AV17" i="8"/>
  <c r="AV13" i="8"/>
  <c r="AV10" i="8"/>
  <c r="AV5" i="8"/>
  <c r="AW151" i="8"/>
  <c r="BC151" i="8"/>
  <c r="BB3" i="8"/>
  <c r="BB5" i="8"/>
  <c r="BB6" i="8"/>
  <c r="BB8" i="8"/>
  <c r="BB10" i="8"/>
  <c r="BB12" i="8"/>
  <c r="BB14" i="8"/>
  <c r="BB16" i="8"/>
  <c r="BB18" i="8"/>
  <c r="BB20" i="8"/>
  <c r="BB22" i="8"/>
  <c r="BB24" i="8"/>
  <c r="BB25" i="8"/>
  <c r="BB26" i="8"/>
  <c r="BB28" i="8"/>
  <c r="BC2" i="8"/>
  <c r="BC18" i="8"/>
  <c r="BC19" i="8"/>
  <c r="BC20" i="8"/>
  <c r="BC21" i="8"/>
  <c r="BC22" i="8"/>
  <c r="BC23" i="8"/>
  <c r="BC24" i="8"/>
  <c r="BB29" i="8"/>
  <c r="BB2" i="8"/>
  <c r="BB4" i="8"/>
  <c r="BB7" i="8"/>
  <c r="BB9" i="8"/>
  <c r="BB11" i="8"/>
  <c r="BB13" i="8"/>
  <c r="BB15" i="8"/>
  <c r="BB17" i="8"/>
  <c r="BB19" i="8"/>
  <c r="BB21" i="8"/>
  <c r="BB23" i="8"/>
  <c r="BB27" i="8"/>
  <c r="R39" i="8"/>
  <c r="R46" i="8"/>
  <c r="R62" i="8"/>
  <c r="R67" i="8"/>
  <c r="R72" i="8"/>
  <c r="R78" i="8"/>
  <c r="R83" i="8"/>
  <c r="R92" i="8"/>
  <c r="R121" i="8"/>
  <c r="R6" i="8"/>
  <c r="R82" i="8"/>
  <c r="R91" i="8"/>
  <c r="R96" i="8"/>
  <c r="R101" i="8"/>
  <c r="R106" i="8"/>
  <c r="R117" i="8"/>
  <c r="R37" i="8"/>
  <c r="R41" i="8"/>
  <c r="R47" i="8"/>
  <c r="R52" i="8"/>
  <c r="R57" i="8"/>
  <c r="R64" i="8"/>
  <c r="R70" i="8"/>
  <c r="R75" i="8"/>
  <c r="R87" i="8"/>
  <c r="R94" i="8"/>
  <c r="R98" i="8"/>
  <c r="R100" i="8"/>
  <c r="R102" i="8"/>
  <c r="R104" i="8"/>
  <c r="R107" i="8"/>
  <c r="R109" i="8"/>
  <c r="R116" i="8"/>
  <c r="R119" i="8"/>
  <c r="R124" i="8"/>
  <c r="R3" i="8"/>
  <c r="R48" i="8"/>
  <c r="R53" i="8"/>
  <c r="R59" i="8"/>
  <c r="R65" i="8"/>
  <c r="R80" i="8"/>
  <c r="R86" i="8"/>
  <c r="R93" i="8"/>
  <c r="R97" i="8"/>
  <c r="R99" i="8"/>
  <c r="R103" i="8"/>
  <c r="R105" i="8"/>
  <c r="R108" i="8"/>
  <c r="R110" i="8"/>
  <c r="R115" i="8"/>
  <c r="R118" i="8"/>
  <c r="R2" i="8"/>
  <c r="R81" i="8"/>
  <c r="R113" i="8"/>
  <c r="R9" i="8"/>
  <c r="R85" i="8"/>
  <c r="R111" i="8"/>
  <c r="S151" i="8"/>
  <c r="R7" i="8"/>
  <c r="R44" i="8"/>
  <c r="R51" i="8"/>
  <c r="R69" i="8"/>
  <c r="R77" i="8"/>
  <c r="R89" i="8"/>
  <c r="R120" i="8"/>
  <c r="R5" i="8"/>
  <c r="R42" i="8"/>
  <c r="R56" i="8"/>
  <c r="R61" i="8"/>
  <c r="R74" i="8"/>
  <c r="R112" i="8"/>
  <c r="R4" i="8"/>
  <c r="R38" i="8"/>
  <c r="R49" i="8"/>
  <c r="R66" i="8"/>
  <c r="R84" i="8"/>
  <c r="R95" i="8"/>
  <c r="R125" i="8"/>
  <c r="R40" i="8"/>
  <c r="R45" i="8"/>
  <c r="R54" i="8"/>
  <c r="R63" i="8"/>
  <c r="R71" i="8"/>
  <c r="R88" i="8"/>
  <c r="R123" i="8"/>
  <c r="R8" i="8"/>
  <c r="R43" i="8"/>
  <c r="R58" i="8"/>
  <c r="R76" i="8"/>
  <c r="R114" i="8"/>
  <c r="R50" i="8"/>
  <c r="R55" i="8"/>
  <c r="R60" i="8"/>
  <c r="R68" i="8"/>
  <c r="R73" i="8"/>
  <c r="R79" i="8"/>
  <c r="R90" i="8"/>
  <c r="R122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8" i="8"/>
  <c r="R17" i="8"/>
  <c r="R16" i="8"/>
  <c r="R15" i="8"/>
  <c r="R14" i="8"/>
  <c r="R13" i="8"/>
  <c r="R12" i="8"/>
  <c r="R11" i="8"/>
  <c r="R10" i="8"/>
  <c r="R19" i="8"/>
  <c r="BC97" i="8"/>
  <c r="S97" i="8"/>
  <c r="BC96" i="8"/>
  <c r="S96" i="8"/>
  <c r="BC95" i="8"/>
  <c r="S95" i="8"/>
  <c r="BC94" i="8"/>
  <c r="S94" i="8"/>
  <c r="BC93" i="8"/>
  <c r="S93" i="8"/>
  <c r="S92" i="8"/>
  <c r="S91" i="8"/>
  <c r="S90" i="8"/>
  <c r="S89" i="8"/>
  <c r="S88" i="8"/>
  <c r="S87" i="8"/>
  <c r="S86" i="8"/>
  <c r="S85" i="8"/>
  <c r="S84" i="8"/>
  <c r="S83" i="8"/>
  <c r="S82" i="8"/>
  <c r="S81" i="8"/>
  <c r="S36" i="8"/>
  <c r="BC35" i="8"/>
  <c r="S35" i="8"/>
  <c r="BC34" i="8"/>
  <c r="S34" i="8"/>
  <c r="BC33" i="8"/>
  <c r="S33" i="8"/>
  <c r="BC32" i="8"/>
  <c r="S32" i="8"/>
  <c r="BC31" i="8"/>
  <c r="S31" i="8"/>
  <c r="BC30" i="8"/>
  <c r="S30" i="8"/>
  <c r="BC29" i="8"/>
  <c r="S29" i="8"/>
  <c r="BC28" i="8"/>
  <c r="S28" i="8"/>
  <c r="BC27" i="8"/>
  <c r="S27" i="8"/>
  <c r="BC26" i="8"/>
  <c r="S26" i="8"/>
  <c r="BC25" i="8"/>
  <c r="S25" i="8"/>
  <c r="S24" i="8"/>
  <c r="S23" i="8"/>
  <c r="S22" i="8"/>
  <c r="S21" i="8"/>
  <c r="S20" i="8"/>
  <c r="S19" i="8"/>
  <c r="AP111" i="8"/>
  <c r="AP105" i="8"/>
  <c r="AP99" i="8"/>
  <c r="AP93" i="8"/>
  <c r="AP86" i="8"/>
  <c r="AP80" i="8"/>
  <c r="AP74" i="8"/>
  <c r="AP69" i="8"/>
  <c r="AP63" i="8"/>
  <c r="AP57" i="8"/>
  <c r="AP51" i="8"/>
  <c r="AP45" i="8"/>
  <c r="AP40" i="8"/>
  <c r="AP34" i="8"/>
  <c r="AP28" i="8"/>
  <c r="AP23" i="8"/>
  <c r="AP17" i="8"/>
  <c r="AP12" i="8"/>
  <c r="AP6" i="8"/>
  <c r="AQ151" i="8"/>
  <c r="AQ27" i="8"/>
  <c r="BB151" i="8"/>
  <c r="AP116" i="8"/>
  <c r="AP112" i="8"/>
  <c r="AP109" i="8"/>
  <c r="AP107" i="8"/>
  <c r="AP103" i="8"/>
  <c r="AP101" i="8"/>
  <c r="AP97" i="8"/>
  <c r="AP95" i="8"/>
  <c r="AP91" i="8"/>
  <c r="AP89" i="8"/>
  <c r="AP85" i="8"/>
  <c r="AP82" i="8"/>
  <c r="AP79" i="8"/>
  <c r="AP77" i="8"/>
  <c r="AP73" i="8"/>
  <c r="AQ30" i="8"/>
  <c r="AJ68" i="8"/>
  <c r="AJ44" i="8"/>
  <c r="AJ38" i="8"/>
  <c r="AJ35" i="8"/>
  <c r="AJ33" i="8"/>
  <c r="AJ31" i="8"/>
  <c r="AJ29" i="8"/>
  <c r="AJ27" i="8"/>
  <c r="AJ25" i="8"/>
  <c r="AJ23" i="8"/>
  <c r="AJ21" i="8"/>
  <c r="AJ19" i="8"/>
  <c r="AJ17" i="8"/>
  <c r="AJ15" i="8"/>
  <c r="AJ13" i="8"/>
  <c r="AJ11" i="8"/>
  <c r="AJ9" i="8"/>
  <c r="AJ7" i="8"/>
  <c r="AJ5" i="8"/>
  <c r="AJ3" i="8"/>
  <c r="AK151" i="8"/>
  <c r="AQ33" i="8"/>
  <c r="AQ31" i="8"/>
  <c r="AQ26" i="8"/>
  <c r="AQ24" i="8"/>
  <c r="AJ151" i="8"/>
  <c r="AJ150" i="8"/>
  <c r="AJ149" i="8"/>
  <c r="AJ148" i="8"/>
  <c r="AJ147" i="8"/>
  <c r="AJ146" i="8"/>
  <c r="AJ145" i="8"/>
  <c r="AJ144" i="8"/>
  <c r="AJ143" i="8"/>
  <c r="AJ142" i="8"/>
  <c r="AJ141" i="8"/>
  <c r="AJ140" i="8"/>
  <c r="AJ139" i="8"/>
  <c r="AJ138" i="8"/>
  <c r="AJ137" i="8"/>
  <c r="AJ136" i="8"/>
  <c r="AJ135" i="8"/>
  <c r="AJ134" i="8"/>
  <c r="AJ133" i="8"/>
  <c r="AJ132" i="8"/>
  <c r="AJ131" i="8"/>
  <c r="AJ130" i="8"/>
  <c r="AQ15" i="8"/>
  <c r="S14" i="8"/>
  <c r="S13" i="8"/>
  <c r="S12" i="8"/>
  <c r="S11" i="8"/>
  <c r="BC9" i="8"/>
  <c r="AQ8" i="8"/>
  <c r="AQ6" i="8"/>
  <c r="S5" i="8"/>
  <c r="S4" i="8"/>
  <c r="S3" i="8"/>
  <c r="AJ129" i="8"/>
  <c r="AJ128" i="8"/>
  <c r="AJ127" i="8"/>
  <c r="AJ126" i="8"/>
  <c r="AJ125" i="8"/>
  <c r="AJ124" i="8"/>
  <c r="AJ123" i="8"/>
  <c r="AJ122" i="8"/>
  <c r="AJ121" i="8"/>
  <c r="AJ120" i="8"/>
  <c r="AJ119" i="8"/>
  <c r="AJ118" i="8"/>
  <c r="AJ117" i="8"/>
  <c r="AJ116" i="8"/>
  <c r="AJ115" i="8"/>
  <c r="AJ114" i="8"/>
  <c r="AJ113" i="8"/>
  <c r="AJ112" i="8"/>
  <c r="AJ111" i="8"/>
  <c r="AJ110" i="8"/>
  <c r="AJ109" i="8"/>
  <c r="AJ108" i="8"/>
  <c r="AJ107" i="8"/>
  <c r="AJ106" i="8"/>
  <c r="AJ105" i="8"/>
  <c r="AJ104" i="8"/>
  <c r="AJ103" i="8"/>
  <c r="AJ102" i="8"/>
  <c r="AJ101" i="8"/>
  <c r="AJ100" i="8"/>
  <c r="AJ99" i="8"/>
  <c r="AJ98" i="8"/>
  <c r="AJ97" i="8"/>
  <c r="AJ96" i="8"/>
  <c r="AJ95" i="8"/>
  <c r="AJ94" i="8"/>
  <c r="AJ93" i="8"/>
  <c r="AJ92" i="8"/>
  <c r="AJ91" i="8"/>
  <c r="AJ90" i="8"/>
  <c r="AJ89" i="8"/>
  <c r="AJ88" i="8"/>
  <c r="AJ87" i="8"/>
  <c r="AJ86" i="8"/>
  <c r="AJ85" i="8"/>
  <c r="AJ84" i="8"/>
  <c r="AJ83" i="8"/>
  <c r="AJ82" i="8"/>
  <c r="AJ81" i="8"/>
  <c r="AJ80" i="8"/>
  <c r="AJ79" i="8"/>
  <c r="AJ78" i="8"/>
  <c r="AJ77" i="8"/>
  <c r="AJ76" i="8"/>
  <c r="AJ75" i="8"/>
  <c r="AJ74" i="8"/>
  <c r="AJ73" i="8"/>
  <c r="AJ72" i="8"/>
  <c r="AJ71" i="8"/>
  <c r="AJ70" i="8"/>
  <c r="AJ69" i="8"/>
  <c r="AJ67" i="8"/>
  <c r="AJ48" i="8"/>
  <c r="AJ46" i="8"/>
  <c r="AQ32" i="8"/>
  <c r="R150" i="8"/>
  <c r="R148" i="8"/>
  <c r="R147" i="8"/>
  <c r="R145" i="8"/>
  <c r="R143" i="8"/>
  <c r="R141" i="8"/>
  <c r="R139" i="8"/>
  <c r="R138" i="8"/>
  <c r="R136" i="8"/>
  <c r="R134" i="8"/>
  <c r="R131" i="8"/>
  <c r="R129" i="8"/>
  <c r="R127" i="8"/>
  <c r="BC121" i="8"/>
  <c r="AQ120" i="8"/>
  <c r="AQ119" i="8"/>
  <c r="AQ117" i="8"/>
  <c r="S116" i="8"/>
  <c r="AQ114" i="8"/>
  <c r="AQ113" i="8"/>
  <c r="AQ112" i="8"/>
  <c r="S109" i="8"/>
  <c r="AQ106" i="8"/>
  <c r="AQ102" i="8"/>
  <c r="AQ99" i="8"/>
  <c r="AQ94" i="8"/>
  <c r="AQ86" i="8"/>
  <c r="AQ82" i="8"/>
  <c r="AQ77" i="8"/>
  <c r="AQ73" i="8"/>
  <c r="AQ68" i="8"/>
  <c r="AQ62" i="8"/>
  <c r="AQ58" i="8"/>
  <c r="AQ55" i="8"/>
  <c r="AQ51" i="8"/>
  <c r="AQ48" i="8"/>
  <c r="AQ44" i="8"/>
  <c r="AQ38" i="8"/>
  <c r="AQ34" i="8"/>
  <c r="S18" i="8"/>
  <c r="S17" i="8"/>
  <c r="AQ16" i="8"/>
  <c r="AQ14" i="8"/>
  <c r="BC12" i="8"/>
  <c r="BC11" i="8"/>
  <c r="AQ10" i="8"/>
  <c r="BC8" i="8"/>
  <c r="S7" i="8"/>
  <c r="S6" i="8"/>
  <c r="BC4" i="8"/>
  <c r="AQ3" i="8"/>
  <c r="AJ66" i="8"/>
  <c r="AJ65" i="8"/>
  <c r="AJ64" i="8"/>
  <c r="AJ63" i="8"/>
  <c r="AJ62" i="8"/>
  <c r="AJ61" i="8"/>
  <c r="AJ60" i="8"/>
  <c r="AJ59" i="8"/>
  <c r="AJ58" i="8"/>
  <c r="AJ57" i="8"/>
  <c r="AJ56" i="8"/>
  <c r="AJ55" i="8"/>
  <c r="AJ54" i="8"/>
  <c r="AJ53" i="8"/>
  <c r="AJ52" i="8"/>
  <c r="AJ51" i="8"/>
  <c r="AJ50" i="8"/>
  <c r="AJ49" i="8"/>
  <c r="AJ47" i="8"/>
  <c r="AQ28" i="8"/>
  <c r="R151" i="8"/>
  <c r="R149" i="8"/>
  <c r="R146" i="8"/>
  <c r="R144" i="8"/>
  <c r="R142" i="8"/>
  <c r="R140" i="8"/>
  <c r="R137" i="8"/>
  <c r="R135" i="8"/>
  <c r="R133" i="8"/>
  <c r="R132" i="8"/>
  <c r="R130" i="8"/>
  <c r="R128" i="8"/>
  <c r="R126" i="8"/>
  <c r="S121" i="8"/>
  <c r="BC120" i="8"/>
  <c r="AQ118" i="8"/>
  <c r="S117" i="8"/>
  <c r="AQ115" i="8"/>
  <c r="S114" i="8"/>
  <c r="S113" i="8"/>
  <c r="S112" i="8"/>
  <c r="AQ111" i="8"/>
  <c r="AQ110" i="8"/>
  <c r="AW109" i="8"/>
  <c r="AW108" i="8"/>
  <c r="AQ105" i="8"/>
  <c r="AQ101" i="8"/>
  <c r="AQ98" i="8"/>
  <c r="AQ92" i="8"/>
  <c r="AQ85" i="8"/>
  <c r="AQ80" i="8"/>
  <c r="AQ75" i="8"/>
  <c r="AQ69" i="8"/>
  <c r="AQ65" i="8"/>
  <c r="AQ61" i="8"/>
  <c r="AQ57" i="8"/>
  <c r="AQ54" i="8"/>
  <c r="AQ50" i="8"/>
  <c r="AQ47" i="8"/>
  <c r="AQ42" i="8"/>
  <c r="AQ37" i="8"/>
  <c r="AQ18" i="8"/>
  <c r="AQ17" i="8"/>
  <c r="S16" i="8"/>
  <c r="S15" i="8"/>
  <c r="BC13" i="8"/>
  <c r="AQ12" i="8"/>
  <c r="BC10" i="8"/>
  <c r="AQ9" i="8"/>
  <c r="BC7" i="8"/>
  <c r="BC6" i="8"/>
  <c r="AQ5" i="8"/>
  <c r="BC3" i="8"/>
  <c r="S2" i="8"/>
  <c r="AQ23" i="8"/>
  <c r="BC150" i="8"/>
  <c r="AQ150" i="8"/>
  <c r="S150" i="8"/>
  <c r="AQ149" i="8"/>
  <c r="S149" i="8"/>
  <c r="AQ148" i="8"/>
  <c r="S148" i="8"/>
  <c r="AQ147" i="8"/>
  <c r="S147" i="8"/>
  <c r="AQ146" i="8"/>
  <c r="S146" i="8"/>
  <c r="AQ145" i="8"/>
  <c r="S145" i="8"/>
  <c r="AQ144" i="8"/>
  <c r="S144" i="8"/>
  <c r="AQ143" i="8"/>
  <c r="S143" i="8"/>
  <c r="AQ142" i="8"/>
  <c r="S142" i="8"/>
  <c r="AQ141" i="8"/>
  <c r="S141" i="8"/>
  <c r="AQ107" i="8"/>
  <c r="AQ104" i="8"/>
  <c r="AQ97" i="8"/>
  <c r="AQ95" i="8"/>
  <c r="AQ93" i="8"/>
  <c r="AQ90" i="8"/>
  <c r="AQ89" i="8"/>
  <c r="AQ88" i="8"/>
  <c r="AQ87" i="8"/>
  <c r="AQ83" i="8"/>
  <c r="AQ81" i="8"/>
  <c r="AQ78" i="8"/>
  <c r="AQ76" i="8"/>
  <c r="AQ74" i="8"/>
  <c r="AQ72" i="8"/>
  <c r="AQ70" i="8"/>
  <c r="AQ67" i="8"/>
  <c r="AQ63" i="8"/>
  <c r="AQ59" i="8"/>
  <c r="AQ53" i="8"/>
  <c r="AQ46" i="8"/>
  <c r="AQ43" i="8"/>
  <c r="AQ41" i="8"/>
  <c r="AQ40" i="8"/>
  <c r="AQ36" i="8"/>
  <c r="AQ19" i="8"/>
  <c r="BC140" i="8"/>
  <c r="AQ140" i="8"/>
  <c r="S140" i="8"/>
  <c r="BC139" i="8"/>
  <c r="AQ139" i="8"/>
  <c r="S139" i="8"/>
  <c r="BC138" i="8"/>
  <c r="AQ138" i="8"/>
  <c r="S138" i="8"/>
  <c r="BC137" i="8"/>
  <c r="AQ137" i="8"/>
  <c r="S137" i="8"/>
  <c r="BC136" i="8"/>
  <c r="AQ136" i="8"/>
  <c r="S136" i="8"/>
  <c r="BC135" i="8"/>
  <c r="AQ135" i="8"/>
  <c r="S135" i="8"/>
  <c r="BC134" i="8"/>
  <c r="AQ134" i="8"/>
  <c r="S134" i="8"/>
  <c r="BC133" i="8"/>
  <c r="AQ133" i="8"/>
  <c r="S133" i="8"/>
  <c r="BC132" i="8"/>
  <c r="AQ132" i="8"/>
  <c r="S132" i="8"/>
  <c r="BC131" i="8"/>
  <c r="AQ131" i="8"/>
  <c r="S131" i="8"/>
  <c r="BC130" i="8"/>
  <c r="AQ130" i="8"/>
  <c r="S130" i="8"/>
  <c r="BC129" i="8"/>
  <c r="AQ129" i="8"/>
  <c r="S129" i="8"/>
  <c r="BC128" i="8"/>
  <c r="AQ128" i="8"/>
  <c r="S128" i="8"/>
  <c r="BC127" i="8"/>
  <c r="AQ127" i="8"/>
  <c r="S127" i="8"/>
  <c r="BC126" i="8"/>
  <c r="AQ126" i="8"/>
  <c r="S126" i="8"/>
  <c r="BC125" i="8"/>
  <c r="AQ125" i="8"/>
  <c r="S125" i="8"/>
  <c r="BC124" i="8"/>
  <c r="AQ124" i="8"/>
  <c r="S124" i="8"/>
  <c r="BC123" i="8"/>
  <c r="AQ123" i="8"/>
  <c r="S123" i="8"/>
  <c r="BC122" i="8"/>
  <c r="AQ122" i="8"/>
  <c r="S122" i="8"/>
  <c r="AQ121" i="8"/>
  <c r="S120" i="8"/>
  <c r="S119" i="8"/>
  <c r="S118" i="8"/>
  <c r="AQ116" i="8"/>
  <c r="S115" i="8"/>
  <c r="AW113" i="8"/>
  <c r="AW112" i="8"/>
  <c r="AW111" i="8"/>
  <c r="S111" i="8"/>
  <c r="AW110" i="8"/>
  <c r="S110" i="8"/>
  <c r="AQ109" i="8"/>
  <c r="AQ108" i="8"/>
  <c r="AQ103" i="8"/>
  <c r="AQ100" i="8"/>
  <c r="AQ96" i="8"/>
  <c r="AQ91" i="8"/>
  <c r="AQ84" i="8"/>
  <c r="AQ79" i="8"/>
  <c r="AQ71" i="8"/>
  <c r="AQ66" i="8"/>
  <c r="AQ64" i="8"/>
  <c r="AQ60" i="8"/>
  <c r="AQ56" i="8"/>
  <c r="AQ52" i="8"/>
  <c r="AQ49" i="8"/>
  <c r="AQ45" i="8"/>
  <c r="AQ39" i="8"/>
  <c r="AQ35" i="8"/>
  <c r="AQ20" i="8"/>
  <c r="BC17" i="8"/>
  <c r="BC16" i="8"/>
  <c r="BC15" i="8"/>
  <c r="BC14" i="8"/>
  <c r="AQ13" i="8"/>
  <c r="AQ11" i="8"/>
  <c r="S10" i="8"/>
  <c r="S9" i="8"/>
  <c r="S8" i="8"/>
  <c r="AQ7" i="8"/>
  <c r="BC5" i="8"/>
  <c r="AQ4" i="8"/>
  <c r="AQ2" i="8"/>
  <c r="AW32" i="8"/>
  <c r="AV104" i="8"/>
  <c r="AV106" i="8"/>
  <c r="AV108" i="8"/>
  <c r="AV111" i="8"/>
  <c r="AV114" i="8"/>
  <c r="AV116" i="8"/>
  <c r="AV119" i="8"/>
  <c r="AV121" i="8"/>
  <c r="AV124" i="8"/>
  <c r="AV127" i="8"/>
  <c r="AV129" i="8"/>
  <c r="AV132" i="8"/>
  <c r="AV135" i="8"/>
  <c r="AV138" i="8"/>
  <c r="AV150" i="8"/>
  <c r="AW34" i="8"/>
  <c r="AW35" i="8"/>
  <c r="AW37" i="8"/>
  <c r="AW38" i="8"/>
  <c r="AW39" i="8"/>
  <c r="AW42" i="8"/>
  <c r="AW44" i="8"/>
  <c r="AW45" i="8"/>
  <c r="AW47" i="8"/>
  <c r="AW48" i="8"/>
  <c r="AW49" i="8"/>
  <c r="AW50" i="8"/>
  <c r="AW51" i="8"/>
  <c r="AW52" i="8"/>
  <c r="AW54" i="8"/>
  <c r="AW55" i="8"/>
  <c r="AW56" i="8"/>
  <c r="AW57" i="8"/>
  <c r="AW58" i="8"/>
  <c r="AW60" i="8"/>
  <c r="AW61" i="8"/>
  <c r="AW62" i="8"/>
  <c r="AW64" i="8"/>
  <c r="AW65" i="8"/>
  <c r="AW66" i="8"/>
  <c r="AW68" i="8"/>
  <c r="AW69" i="8"/>
  <c r="AW71" i="8"/>
  <c r="AW73" i="8"/>
  <c r="AW75" i="8"/>
  <c r="AW77" i="8"/>
  <c r="AW79" i="8"/>
  <c r="AW80" i="8"/>
  <c r="AW82" i="8"/>
  <c r="AW84" i="8"/>
  <c r="AW85" i="8"/>
  <c r="AW86" i="8"/>
  <c r="AW91" i="8"/>
  <c r="AW92" i="8"/>
  <c r="AW94" i="8"/>
  <c r="AW96" i="8"/>
  <c r="AW98" i="8"/>
  <c r="AW99" i="8"/>
  <c r="AW100" i="8"/>
  <c r="AW101" i="8"/>
  <c r="AW102" i="8"/>
  <c r="AW103" i="8"/>
  <c r="AW105" i="8"/>
  <c r="AW106" i="8"/>
  <c r="AW23" i="8"/>
  <c r="AW33" i="8"/>
  <c r="AW36" i="8"/>
  <c r="AW40" i="8"/>
  <c r="AW41" i="8"/>
  <c r="AW43" i="8"/>
  <c r="AW46" i="8"/>
  <c r="AW53" i="8"/>
  <c r="AW59" i="8"/>
  <c r="AW63" i="8"/>
  <c r="AW67" i="8"/>
  <c r="AW70" i="8"/>
  <c r="AW72" i="8"/>
  <c r="AW74" i="8"/>
  <c r="AW76" i="8"/>
  <c r="AW78" i="8"/>
  <c r="AW81" i="8"/>
  <c r="AW83" i="8"/>
  <c r="AW87" i="8"/>
  <c r="AW88" i="8"/>
  <c r="AW89" i="8"/>
  <c r="AW90" i="8"/>
  <c r="AW93" i="8"/>
  <c r="AW95" i="8"/>
  <c r="AW97" i="8"/>
  <c r="AW104" i="8"/>
  <c r="AW30" i="8"/>
  <c r="AW31" i="8"/>
  <c r="AW20" i="8"/>
  <c r="AW24" i="8"/>
  <c r="AW19" i="8"/>
  <c r="AW22" i="8"/>
  <c r="AW25" i="8"/>
  <c r="AW26" i="8"/>
  <c r="AW27" i="8"/>
  <c r="AW21" i="8"/>
  <c r="AW28" i="8"/>
  <c r="AW29" i="8"/>
  <c r="AV105" i="8"/>
  <c r="AV109" i="8"/>
  <c r="AV149" i="8"/>
  <c r="AV107" i="8"/>
  <c r="AV110" i="8"/>
  <c r="AV112" i="8"/>
  <c r="AV113" i="8"/>
  <c r="AV115" i="8"/>
  <c r="AV117" i="8"/>
  <c r="AV118" i="8"/>
  <c r="AV120" i="8"/>
  <c r="AV122" i="8"/>
  <c r="AV123" i="8"/>
  <c r="AV125" i="8"/>
  <c r="AV126" i="8"/>
  <c r="AV128" i="8"/>
  <c r="AV130" i="8"/>
  <c r="AV131" i="8"/>
  <c r="AV133" i="8"/>
  <c r="AV134" i="8"/>
  <c r="AV136" i="8"/>
  <c r="AV137" i="8"/>
  <c r="AV139" i="8"/>
  <c r="AV140" i="8"/>
  <c r="AV141" i="8"/>
  <c r="AV142" i="8"/>
  <c r="AV143" i="8"/>
  <c r="AV144" i="8"/>
  <c r="AV145" i="8"/>
  <c r="AV146" i="8"/>
  <c r="AV147" i="8"/>
  <c r="AV148" i="8"/>
  <c r="AV151" i="8"/>
  <c r="AK23" i="8"/>
  <c r="AK26" i="8"/>
  <c r="AK29" i="8"/>
  <c r="AK30" i="8"/>
  <c r="AK28" i="8"/>
  <c r="AK19" i="8"/>
  <c r="AK24" i="8"/>
  <c r="AK37" i="8"/>
  <c r="AK38" i="8"/>
  <c r="AK39" i="8"/>
  <c r="AK44" i="8"/>
  <c r="AK45" i="8"/>
  <c r="AK47" i="8"/>
  <c r="AK48" i="8"/>
  <c r="AK49" i="8"/>
  <c r="AK54" i="8"/>
  <c r="AK55" i="8"/>
  <c r="AK58" i="8"/>
  <c r="AK60" i="8"/>
  <c r="AK61" i="8"/>
  <c r="AK64" i="8"/>
  <c r="AK68" i="8"/>
  <c r="AK69" i="8"/>
  <c r="AK72" i="8"/>
  <c r="AK73" i="8"/>
  <c r="AK74" i="8"/>
  <c r="AK77" i="8"/>
  <c r="AK78" i="8"/>
  <c r="AK79" i="8"/>
  <c r="AK80" i="8"/>
  <c r="AK82" i="8"/>
  <c r="AK84" i="8"/>
  <c r="AK85" i="8"/>
  <c r="AK86" i="8"/>
  <c r="AK90" i="8"/>
  <c r="AK91" i="8"/>
  <c r="AK92" i="8"/>
  <c r="AK20" i="8"/>
  <c r="AK21" i="8"/>
  <c r="AK22" i="8"/>
  <c r="AK31" i="8"/>
  <c r="AK32" i="8"/>
  <c r="AK35" i="8"/>
  <c r="AK36" i="8"/>
  <c r="AK40" i="8"/>
  <c r="AK41" i="8"/>
  <c r="AK42" i="8"/>
  <c r="AK43" i="8"/>
  <c r="AK46" i="8"/>
  <c r="AK50" i="8"/>
  <c r="AK51" i="8"/>
  <c r="AK52" i="8"/>
  <c r="AK53" i="8"/>
  <c r="AK56" i="8"/>
  <c r="AK57" i="8"/>
  <c r="AK59" i="8"/>
  <c r="AK62" i="8"/>
  <c r="AK63" i="8"/>
  <c r="AK65" i="8"/>
  <c r="AK66" i="8"/>
  <c r="AK67" i="8"/>
  <c r="AK70" i="8"/>
  <c r="AK71" i="8"/>
  <c r="AK75" i="8"/>
  <c r="AK76" i="8"/>
  <c r="AK81" i="8"/>
  <c r="AK83" i="8"/>
  <c r="AK87" i="8"/>
  <c r="AK88" i="8"/>
  <c r="AK89" i="8"/>
  <c r="AK33" i="8"/>
  <c r="AK25" i="8"/>
  <c r="AK27" i="8"/>
  <c r="AK34" i="8"/>
  <c r="AE23" i="8"/>
  <c r="AE26" i="8"/>
  <c r="AE31" i="8"/>
  <c r="AE22" i="8"/>
  <c r="AE34" i="8"/>
  <c r="AE19" i="8"/>
  <c r="AE20" i="8"/>
  <c r="AE2" i="8"/>
  <c r="AE3" i="8"/>
  <c r="AE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59" i="8"/>
  <c r="AE27" i="8"/>
  <c r="AE30" i="8"/>
  <c r="AE32" i="8"/>
  <c r="AE35" i="8"/>
  <c r="AE36" i="8"/>
  <c r="AE40" i="8"/>
  <c r="AE42" i="8"/>
  <c r="AE43" i="8"/>
  <c r="AE46" i="8"/>
  <c r="AE50" i="8"/>
  <c r="AE51" i="8"/>
  <c r="AE52" i="8"/>
  <c r="AE53" i="8"/>
  <c r="AE56" i="8"/>
  <c r="AE57" i="8"/>
  <c r="AE62" i="8"/>
  <c r="AE63" i="8"/>
  <c r="AE65" i="8"/>
  <c r="AE66" i="8"/>
  <c r="AE67" i="8"/>
  <c r="AE70" i="8"/>
  <c r="AE71" i="8"/>
  <c r="AE76" i="8"/>
  <c r="AE78" i="8"/>
  <c r="AE81" i="8"/>
  <c r="AE83" i="8"/>
  <c r="AE85" i="8"/>
  <c r="AE87" i="8"/>
  <c r="AE89" i="8"/>
  <c r="AE93" i="8"/>
  <c r="AE97" i="8"/>
  <c r="AE99" i="8"/>
  <c r="AE100" i="8"/>
  <c r="AE101" i="8"/>
  <c r="AE102" i="8"/>
  <c r="AE103" i="8"/>
  <c r="AE104" i="8"/>
  <c r="AE106" i="8"/>
  <c r="AE107" i="8"/>
  <c r="AE109" i="8"/>
  <c r="AE110" i="8"/>
  <c r="AE111" i="8"/>
  <c r="AE112" i="8"/>
  <c r="AE113" i="8"/>
  <c r="AE114" i="8"/>
  <c r="AE115" i="8"/>
  <c r="AE116" i="8"/>
  <c r="AE117" i="8"/>
  <c r="AE118" i="8"/>
  <c r="AE119" i="8"/>
  <c r="AE120" i="8"/>
  <c r="AE121" i="8"/>
  <c r="AE122" i="8"/>
  <c r="AE123" i="8"/>
  <c r="AE124" i="8"/>
  <c r="AE125" i="8"/>
  <c r="AE126" i="8"/>
  <c r="AE127" i="8"/>
  <c r="AE128" i="8"/>
  <c r="AE129" i="8"/>
  <c r="AE130" i="8"/>
  <c r="AE131" i="8"/>
  <c r="AE132" i="8"/>
  <c r="AE133" i="8"/>
  <c r="AE134" i="8"/>
  <c r="AE135" i="8"/>
  <c r="AE136" i="8"/>
  <c r="AE137" i="8"/>
  <c r="AE138" i="8"/>
  <c r="AE139" i="8"/>
  <c r="AE140" i="8"/>
  <c r="AE21" i="8"/>
  <c r="AE28" i="8"/>
  <c r="AE37" i="8"/>
  <c r="AE38" i="8"/>
  <c r="AE39" i="8"/>
  <c r="AE41" i="8"/>
  <c r="AE44" i="8"/>
  <c r="AE45" i="8"/>
  <c r="AE47" i="8"/>
  <c r="AE48" i="8"/>
  <c r="AE49" i="8"/>
  <c r="AE54" i="8"/>
  <c r="AE55" i="8"/>
  <c r="AE58" i="8"/>
  <c r="AE60" i="8"/>
  <c r="AE61" i="8"/>
  <c r="AE64" i="8"/>
  <c r="AE68" i="8"/>
  <c r="AE69" i="8"/>
  <c r="AE72" i="8"/>
  <c r="AE73" i="8"/>
  <c r="AE74" i="8"/>
  <c r="AE75" i="8"/>
  <c r="AE77" i="8"/>
  <c r="AE79" i="8"/>
  <c r="AE80" i="8"/>
  <c r="AE82" i="8"/>
  <c r="AE84" i="8"/>
  <c r="AE86" i="8"/>
  <c r="AE88" i="8"/>
  <c r="AE90" i="8"/>
  <c r="AE91" i="8"/>
  <c r="AE92" i="8"/>
  <c r="AE94" i="8"/>
  <c r="AE95" i="8"/>
  <c r="AE96" i="8"/>
  <c r="AE98" i="8"/>
  <c r="AE105" i="8"/>
  <c r="AE108" i="8"/>
  <c r="AE141" i="8"/>
  <c r="AE142" i="8"/>
  <c r="AE143" i="8"/>
  <c r="AE144" i="8"/>
  <c r="AE145" i="8"/>
  <c r="AE146" i="8"/>
  <c r="AE147" i="8"/>
  <c r="AE148" i="8"/>
  <c r="AE149" i="8"/>
  <c r="AE150" i="8"/>
  <c r="AE24" i="8"/>
  <c r="AE25" i="8"/>
  <c r="AD73" i="8"/>
  <c r="AE29" i="8"/>
  <c r="AE33" i="8"/>
  <c r="AE151" i="8"/>
  <c r="AD5" i="8"/>
  <c r="AD8" i="8"/>
  <c r="AD11" i="8"/>
  <c r="AD14" i="8"/>
  <c r="AD17" i="8"/>
  <c r="AD20" i="8"/>
  <c r="AD23" i="8"/>
  <c r="AD26" i="8"/>
  <c r="AD29" i="8"/>
  <c r="AD32" i="8"/>
  <c r="AD35" i="8"/>
  <c r="AD40" i="8"/>
  <c r="AD52" i="8"/>
  <c r="AD55" i="8"/>
  <c r="AD58" i="8"/>
  <c r="AD61" i="8"/>
  <c r="AD64" i="8"/>
  <c r="AD67" i="8"/>
  <c r="AD69" i="8"/>
  <c r="AD72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2" i="8"/>
  <c r="AD4" i="8"/>
  <c r="AD7" i="8"/>
  <c r="AD10" i="8"/>
  <c r="AD13" i="8"/>
  <c r="AD16" i="8"/>
  <c r="AD19" i="8"/>
  <c r="AD22" i="8"/>
  <c r="AD24" i="8"/>
  <c r="AD27" i="8"/>
  <c r="AD30" i="8"/>
  <c r="AD33" i="8"/>
  <c r="AD36" i="8"/>
  <c r="AD38" i="8"/>
  <c r="AD41" i="8"/>
  <c r="AD43" i="8"/>
  <c r="AD45" i="8"/>
  <c r="AD47" i="8"/>
  <c r="AD49" i="8"/>
  <c r="AD51" i="8"/>
  <c r="AD54" i="8"/>
  <c r="AD57" i="8"/>
  <c r="AD59" i="8"/>
  <c r="AD62" i="8"/>
  <c r="AD65" i="8"/>
  <c r="AD68" i="8"/>
  <c r="AD71" i="8"/>
  <c r="AD3" i="8"/>
  <c r="AD6" i="8"/>
  <c r="AD9" i="8"/>
  <c r="AD12" i="8"/>
  <c r="AD15" i="8"/>
  <c r="AD18" i="8"/>
  <c r="AD21" i="8"/>
  <c r="AD25" i="8"/>
  <c r="AD28" i="8"/>
  <c r="AD31" i="8"/>
  <c r="AD34" i="8"/>
  <c r="AD37" i="8"/>
  <c r="AD39" i="8"/>
  <c r="AD42" i="8"/>
  <c r="AD44" i="8"/>
  <c r="AD46" i="8"/>
  <c r="AD48" i="8"/>
  <c r="AD50" i="8"/>
  <c r="AD53" i="8"/>
  <c r="AD56" i="8"/>
  <c r="AD60" i="8"/>
  <c r="AD63" i="8"/>
  <c r="AD66" i="8"/>
  <c r="AD70" i="8"/>
  <c r="G24" i="8"/>
  <c r="G21" i="8"/>
  <c r="G28" i="8"/>
  <c r="G23" i="8"/>
  <c r="G19" i="8"/>
  <c r="G32" i="8"/>
  <c r="G37" i="8"/>
  <c r="G38" i="8"/>
  <c r="G39" i="8"/>
  <c r="G41" i="8"/>
  <c r="G44" i="8"/>
  <c r="G45" i="8"/>
  <c r="G47" i="8"/>
  <c r="G48" i="8"/>
  <c r="G49" i="8"/>
  <c r="G34" i="8"/>
  <c r="G35" i="8"/>
  <c r="G36" i="8"/>
  <c r="G40" i="8"/>
  <c r="G42" i="8"/>
  <c r="G43" i="8"/>
  <c r="G46" i="8"/>
  <c r="G50" i="8"/>
  <c r="G51" i="8"/>
  <c r="G29" i="8"/>
  <c r="G20" i="8"/>
  <c r="G26" i="8"/>
  <c r="G30" i="8"/>
  <c r="G33" i="8"/>
  <c r="G27" i="8"/>
  <c r="G31" i="8"/>
  <c r="G22" i="8"/>
  <c r="G25" i="8"/>
  <c r="Y21" i="8"/>
  <c r="Y24" i="8"/>
  <c r="Y33" i="8"/>
  <c r="Y19" i="8"/>
  <c r="Y20" i="8"/>
  <c r="Y23" i="8"/>
  <c r="Y34" i="8"/>
  <c r="Y27" i="8"/>
  <c r="Y30" i="8"/>
  <c r="Y32" i="8"/>
  <c r="Y22" i="8"/>
  <c r="Y25" i="8"/>
  <c r="Y28" i="8"/>
  <c r="Y31" i="8"/>
  <c r="Y37" i="8"/>
  <c r="Y38" i="8"/>
  <c r="Y39" i="8"/>
  <c r="Y41" i="8"/>
  <c r="Y44" i="8"/>
  <c r="Y45" i="8"/>
  <c r="Y47" i="8"/>
  <c r="Y48" i="8"/>
  <c r="Y49" i="8"/>
  <c r="Y54" i="8"/>
  <c r="Y55" i="8"/>
  <c r="Y58" i="8"/>
  <c r="Y59" i="8"/>
  <c r="Y60" i="8"/>
  <c r="Y61" i="8"/>
  <c r="Y64" i="8"/>
  <c r="Y68" i="8"/>
  <c r="Y69" i="8"/>
  <c r="Y71" i="8"/>
  <c r="Y73" i="8"/>
  <c r="Y74" i="8"/>
  <c r="Y75" i="8"/>
  <c r="Y77" i="8"/>
  <c r="Y78" i="8"/>
  <c r="Y79" i="8"/>
  <c r="Y80" i="8"/>
  <c r="Y82" i="8"/>
  <c r="Y84" i="8"/>
  <c r="Y86" i="8"/>
  <c r="Y26" i="8"/>
  <c r="Y29" i="8"/>
  <c r="Y35" i="8"/>
  <c r="Y36" i="8"/>
  <c r="Y40" i="8"/>
  <c r="Y42" i="8"/>
  <c r="Y43" i="8"/>
  <c r="Y46" i="8"/>
  <c r="Y50" i="8"/>
  <c r="Y51" i="8"/>
  <c r="Y52" i="8"/>
  <c r="Y53" i="8"/>
  <c r="Y56" i="8"/>
  <c r="Y57" i="8"/>
  <c r="Y62" i="8"/>
  <c r="Y63" i="8"/>
  <c r="Y65" i="8"/>
  <c r="Y66" i="8"/>
  <c r="Y67" i="8"/>
  <c r="Y70" i="8"/>
  <c r="Y72" i="8"/>
  <c r="Y76" i="8"/>
  <c r="Y81" i="8"/>
  <c r="Y83" i="8"/>
  <c r="Y85" i="8"/>
  <c r="Y87" i="8"/>
  <c r="Y88" i="8"/>
  <c r="L11" i="8"/>
  <c r="L22" i="8"/>
  <c r="L28" i="8"/>
  <c r="L47" i="8"/>
  <c r="L57" i="8"/>
  <c r="L65" i="8"/>
  <c r="L84" i="8"/>
  <c r="L91" i="8"/>
  <c r="L105" i="8"/>
  <c r="L110" i="8"/>
  <c r="L116" i="8"/>
  <c r="L127" i="8"/>
  <c r="L136" i="8"/>
  <c r="L145" i="8"/>
  <c r="M21" i="8"/>
  <c r="L3" i="8"/>
  <c r="L10" i="8"/>
  <c r="L27" i="8"/>
  <c r="L33" i="8"/>
  <c r="L46" i="8"/>
  <c r="L54" i="8"/>
  <c r="L61" i="8"/>
  <c r="L87" i="8"/>
  <c r="L100" i="8"/>
  <c r="L106" i="8"/>
  <c r="L111" i="8"/>
  <c r="L118" i="8"/>
  <c r="L123" i="8"/>
  <c r="L131" i="8"/>
  <c r="L139" i="8"/>
  <c r="L150" i="8"/>
  <c r="M27" i="8"/>
  <c r="M28" i="8"/>
  <c r="M29" i="8"/>
  <c r="M151" i="8"/>
  <c r="L6" i="8"/>
  <c r="L13" i="8"/>
  <c r="L20" i="8"/>
  <c r="L25" i="8"/>
  <c r="L30" i="8"/>
  <c r="L38" i="8"/>
  <c r="L45" i="8"/>
  <c r="L50" i="8"/>
  <c r="L56" i="8"/>
  <c r="L63" i="8"/>
  <c r="L68" i="8"/>
  <c r="L73" i="8"/>
  <c r="L77" i="8"/>
  <c r="L86" i="8"/>
  <c r="L95" i="8"/>
  <c r="L104" i="8"/>
  <c r="L113" i="8"/>
  <c r="L122" i="8"/>
  <c r="L128" i="8"/>
  <c r="L138" i="8"/>
  <c r="L144" i="8"/>
  <c r="L149" i="8"/>
  <c r="M24" i="8"/>
  <c r="L2" i="8"/>
  <c r="L14" i="8"/>
  <c r="L21" i="8"/>
  <c r="L31" i="8"/>
  <c r="L53" i="8"/>
  <c r="L62" i="8"/>
  <c r="L70" i="8"/>
  <c r="L76" i="8"/>
  <c r="L85" i="8"/>
  <c r="L96" i="8"/>
  <c r="L102" i="8"/>
  <c r="L119" i="8"/>
  <c r="L126" i="8"/>
  <c r="L135" i="8"/>
  <c r="L148" i="8"/>
  <c r="M19" i="8"/>
  <c r="M31" i="8"/>
  <c r="L8" i="8"/>
  <c r="L12" i="8"/>
  <c r="L19" i="8"/>
  <c r="L24" i="8"/>
  <c r="L29" i="8"/>
  <c r="L36" i="8"/>
  <c r="L41" i="8"/>
  <c r="L49" i="8"/>
  <c r="L55" i="8"/>
  <c r="L60" i="8"/>
  <c r="L71" i="8"/>
  <c r="L75" i="8"/>
  <c r="L79" i="8"/>
  <c r="L83" i="8"/>
  <c r="L89" i="8"/>
  <c r="L93" i="8"/>
  <c r="L99" i="8"/>
  <c r="L103" i="8"/>
  <c r="L109" i="8"/>
  <c r="L117" i="8"/>
  <c r="L124" i="8"/>
  <c r="L129" i="8"/>
  <c r="L134" i="8"/>
  <c r="L137" i="8"/>
  <c r="L141" i="8"/>
  <c r="L147" i="8"/>
  <c r="L4" i="8"/>
  <c r="L17" i="8"/>
  <c r="L34" i="8"/>
  <c r="L40" i="8"/>
  <c r="L58" i="8"/>
  <c r="L66" i="8"/>
  <c r="L74" i="8"/>
  <c r="L82" i="8"/>
  <c r="L97" i="8"/>
  <c r="L107" i="8"/>
  <c r="L121" i="8"/>
  <c r="L132" i="8"/>
  <c r="L146" i="8"/>
  <c r="M34" i="8"/>
  <c r="M37" i="8"/>
  <c r="M38" i="8"/>
  <c r="M39" i="8"/>
  <c r="M41" i="8"/>
  <c r="M44" i="8"/>
  <c r="M45" i="8"/>
  <c r="M47" i="8"/>
  <c r="M48" i="8"/>
  <c r="M49" i="8"/>
  <c r="M54" i="8"/>
  <c r="M55" i="8"/>
  <c r="M58" i="8"/>
  <c r="M20" i="8"/>
  <c r="M22" i="8"/>
  <c r="M23" i="8"/>
  <c r="M32" i="8"/>
  <c r="M33" i="8"/>
  <c r="M35" i="8"/>
  <c r="M36" i="8"/>
  <c r="M40" i="8"/>
  <c r="M42" i="8"/>
  <c r="M43" i="8"/>
  <c r="M46" i="8"/>
  <c r="M50" i="8"/>
  <c r="M51" i="8"/>
  <c r="M52" i="8"/>
  <c r="M53" i="8"/>
  <c r="M56" i="8"/>
  <c r="M57" i="8"/>
  <c r="L43" i="8"/>
  <c r="L5" i="8"/>
  <c r="L16" i="8"/>
  <c r="L23" i="8"/>
  <c r="L32" i="8"/>
  <c r="L39" i="8"/>
  <c r="L48" i="8"/>
  <c r="L59" i="8"/>
  <c r="L67" i="8"/>
  <c r="L81" i="8"/>
  <c r="L92" i="8"/>
  <c r="L98" i="8"/>
  <c r="L115" i="8"/>
  <c r="L130" i="8"/>
  <c r="L143" i="8"/>
  <c r="M25" i="8"/>
  <c r="L9" i="8"/>
  <c r="L18" i="8"/>
  <c r="L26" i="8"/>
  <c r="L35" i="8"/>
  <c r="L44" i="8"/>
  <c r="L52" i="8"/>
  <c r="L69" i="8"/>
  <c r="L78" i="8"/>
  <c r="L90" i="8"/>
  <c r="L112" i="8"/>
  <c r="L125" i="8"/>
  <c r="L142" i="8"/>
  <c r="M26" i="8"/>
  <c r="M30" i="8"/>
  <c r="L7" i="8"/>
  <c r="L15" i="8"/>
  <c r="L37" i="8"/>
  <c r="L42" i="8"/>
  <c r="L51" i="8"/>
  <c r="L64" i="8"/>
  <c r="L72" i="8"/>
  <c r="L80" i="8"/>
  <c r="L88" i="8"/>
  <c r="L94" i="8"/>
  <c r="L101" i="8"/>
  <c r="L108" i="8"/>
  <c r="L114" i="8"/>
  <c r="L120" i="8"/>
  <c r="L133" i="8"/>
  <c r="L140" i="8"/>
  <c r="L151" i="8"/>
  <c r="A41" i="4" a="1"/>
  <c r="F35" i="1"/>
  <c r="G35" i="1"/>
  <c r="H35" i="1"/>
  <c r="I35" i="1"/>
  <c r="K2" i="2"/>
  <c r="AJ45" i="8"/>
  <c r="AJ43" i="8"/>
  <c r="AJ42" i="8"/>
  <c r="AJ41" i="8"/>
  <c r="AJ40" i="8"/>
  <c r="AJ39" i="8"/>
  <c r="AJ37" i="8"/>
  <c r="AJ36" i="8"/>
  <c r="AJ34" i="8"/>
  <c r="AJ32" i="8"/>
  <c r="AJ30" i="8"/>
  <c r="AJ28" i="8"/>
  <c r="AJ26" i="8"/>
  <c r="AJ24" i="8"/>
  <c r="AJ22" i="8"/>
  <c r="AJ20" i="8"/>
  <c r="AJ18" i="8"/>
  <c r="AJ16" i="8"/>
  <c r="AJ14" i="8"/>
  <c r="AJ12" i="8"/>
  <c r="AJ10" i="8"/>
  <c r="AJ8" i="8"/>
  <c r="AJ6" i="8"/>
  <c r="AJ4" i="8"/>
  <c r="AJ2" i="8"/>
  <c r="X151" i="8"/>
  <c r="X150" i="8"/>
  <c r="X149" i="8"/>
  <c r="X148" i="8"/>
  <c r="X147" i="8"/>
  <c r="X146" i="8"/>
  <c r="X145" i="8"/>
  <c r="X144" i="8"/>
  <c r="X143" i="8"/>
  <c r="X142" i="8"/>
  <c r="X141" i="8"/>
  <c r="X140" i="8"/>
  <c r="X139" i="8"/>
  <c r="X138" i="8"/>
  <c r="X137" i="8"/>
  <c r="X136" i="8"/>
  <c r="X135" i="8"/>
  <c r="X134" i="8"/>
  <c r="X133" i="8"/>
  <c r="X132" i="8"/>
  <c r="X131" i="8"/>
  <c r="X130" i="8"/>
  <c r="X129" i="8"/>
  <c r="X128" i="8"/>
  <c r="X127" i="8"/>
  <c r="X126" i="8"/>
  <c r="X125" i="8"/>
  <c r="X124" i="8"/>
  <c r="X123" i="8"/>
  <c r="X122" i="8"/>
  <c r="X121" i="8"/>
  <c r="X120" i="8"/>
  <c r="X119" i="8"/>
  <c r="X118" i="8"/>
  <c r="X117" i="8"/>
  <c r="X116" i="8"/>
  <c r="X115" i="8"/>
  <c r="X114" i="8"/>
  <c r="X113" i="8"/>
  <c r="X112" i="8"/>
  <c r="M85" i="8"/>
  <c r="G83" i="8"/>
  <c r="M81" i="8"/>
  <c r="G81" i="8"/>
  <c r="M78" i="8"/>
  <c r="M72" i="8"/>
  <c r="G72" i="8"/>
  <c r="G66" i="8"/>
  <c r="G65" i="8"/>
  <c r="G63" i="8"/>
  <c r="G62" i="8"/>
  <c r="G141" i="8"/>
  <c r="AW140" i="8"/>
  <c r="AK139" i="8"/>
  <c r="Y139" i="8"/>
  <c r="G139" i="8"/>
  <c r="AW138" i="8"/>
  <c r="G138" i="8"/>
  <c r="G137" i="8"/>
  <c r="AW136" i="8"/>
  <c r="G135" i="8"/>
  <c r="AW134" i="8"/>
  <c r="G134" i="8"/>
  <c r="AW133" i="8"/>
  <c r="AK133" i="8"/>
  <c r="Y133" i="8"/>
  <c r="M133" i="8"/>
  <c r="AK131" i="8"/>
  <c r="Y131" i="8"/>
  <c r="M131" i="8"/>
  <c r="G129" i="8"/>
  <c r="AW128" i="8"/>
  <c r="G128" i="8"/>
  <c r="AW127" i="8"/>
  <c r="AK127" i="8"/>
  <c r="Y127" i="8"/>
  <c r="AK126" i="8"/>
  <c r="Y126" i="8"/>
  <c r="G126" i="8"/>
  <c r="AK124" i="8"/>
  <c r="Y124" i="8"/>
  <c r="G124" i="8"/>
  <c r="AK122" i="8"/>
  <c r="Y122" i="8"/>
  <c r="M122" i="8"/>
  <c r="AK120" i="8"/>
  <c r="Y120" i="8"/>
  <c r="M120" i="8"/>
  <c r="AW119" i="8"/>
  <c r="AK119" i="8"/>
  <c r="Y118" i="8"/>
  <c r="M118" i="8"/>
  <c r="G118" i="8"/>
  <c r="AW116" i="8"/>
  <c r="Y116" i="8"/>
  <c r="M116" i="8"/>
  <c r="G116" i="8"/>
  <c r="AW114" i="8"/>
  <c r="AK114" i="8"/>
  <c r="AK113" i="8"/>
  <c r="Y113" i="8"/>
  <c r="AK112" i="8"/>
  <c r="Y112" i="8"/>
  <c r="AK111" i="8"/>
  <c r="Y111" i="8"/>
  <c r="M111" i="8"/>
  <c r="AK107" i="8"/>
  <c r="Y105" i="8"/>
  <c r="M105" i="8"/>
  <c r="AK104" i="8"/>
  <c r="Y98" i="8"/>
  <c r="Y96" i="8"/>
  <c r="AK95" i="8"/>
  <c r="AK94" i="8"/>
  <c r="M94" i="8"/>
  <c r="G94" i="8"/>
  <c r="Y92" i="8"/>
  <c r="G92" i="8"/>
  <c r="Y91" i="8"/>
  <c r="X111" i="8"/>
  <c r="X110" i="8"/>
  <c r="X109" i="8"/>
  <c r="X108" i="8"/>
  <c r="X107" i="8"/>
  <c r="X106" i="8"/>
  <c r="X105" i="8"/>
  <c r="X104" i="8"/>
  <c r="X103" i="8"/>
  <c r="X102" i="8"/>
  <c r="X101" i="8"/>
  <c r="X100" i="8"/>
  <c r="X99" i="8"/>
  <c r="X98" i="8"/>
  <c r="X97" i="8"/>
  <c r="X96" i="8"/>
  <c r="X95" i="8"/>
  <c r="X94" i="8"/>
  <c r="X93" i="8"/>
  <c r="X92" i="8"/>
  <c r="X91" i="8"/>
  <c r="X90" i="8"/>
  <c r="X89" i="8"/>
  <c r="X88" i="8"/>
  <c r="X87" i="8"/>
  <c r="X86" i="8"/>
  <c r="X85" i="8"/>
  <c r="X84" i="8"/>
  <c r="X83" i="8"/>
  <c r="X82" i="8"/>
  <c r="X81" i="8"/>
  <c r="X80" i="8"/>
  <c r="X79" i="8"/>
  <c r="X78" i="8"/>
  <c r="X77" i="8"/>
  <c r="X76" i="8"/>
  <c r="X75" i="8"/>
  <c r="X74" i="8"/>
  <c r="X73" i="8"/>
  <c r="X72" i="8"/>
  <c r="X71" i="8"/>
  <c r="X70" i="8"/>
  <c r="X69" i="8"/>
  <c r="X68" i="8"/>
  <c r="X67" i="8"/>
  <c r="X66" i="8"/>
  <c r="X65" i="8"/>
  <c r="X64" i="8"/>
  <c r="X63" i="8"/>
  <c r="X62" i="8"/>
  <c r="X61" i="8"/>
  <c r="X60" i="8"/>
  <c r="X59" i="8"/>
  <c r="X58" i="8"/>
  <c r="X57" i="8"/>
  <c r="X56" i="8"/>
  <c r="X55" i="8"/>
  <c r="X54" i="8"/>
  <c r="X53" i="8"/>
  <c r="X52" i="8"/>
  <c r="X51" i="8"/>
  <c r="X50" i="8"/>
  <c r="X49" i="8"/>
  <c r="X48" i="8"/>
  <c r="X4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X7" i="8"/>
  <c r="X6" i="8"/>
  <c r="X5" i="8"/>
  <c r="X4" i="8"/>
  <c r="X3" i="8"/>
  <c r="X2" i="8"/>
  <c r="Y151" i="8"/>
  <c r="F151" i="8"/>
  <c r="F150" i="8"/>
  <c r="F149" i="8"/>
  <c r="F148" i="8"/>
  <c r="F147" i="8"/>
  <c r="F146" i="8"/>
  <c r="F145" i="8"/>
  <c r="G93" i="8"/>
  <c r="M89" i="8"/>
  <c r="M87" i="8"/>
  <c r="G87" i="8"/>
  <c r="M70" i="8"/>
  <c r="M67" i="8"/>
  <c r="G67" i="8"/>
  <c r="M66" i="8"/>
  <c r="M65" i="8"/>
  <c r="M63" i="8"/>
  <c r="M62" i="8"/>
  <c r="G57" i="8"/>
  <c r="G56" i="8"/>
  <c r="G53" i="8"/>
  <c r="G52" i="8"/>
  <c r="Y140" i="8"/>
  <c r="G140" i="8"/>
  <c r="AW139" i="8"/>
  <c r="M139" i="8"/>
  <c r="M137" i="8"/>
  <c r="AW135" i="8"/>
  <c r="AK135" i="8"/>
  <c r="Y135" i="8"/>
  <c r="M135" i="8"/>
  <c r="G133" i="8"/>
  <c r="AW132" i="8"/>
  <c r="G132" i="8"/>
  <c r="AK130" i="8"/>
  <c r="Y130" i="8"/>
  <c r="M130" i="8"/>
  <c r="G130" i="8"/>
  <c r="AW129" i="8"/>
  <c r="AK129" i="8"/>
  <c r="Y129" i="8"/>
  <c r="M129" i="8"/>
  <c r="G127" i="8"/>
  <c r="AW126" i="8"/>
  <c r="M126" i="8"/>
  <c r="AW125" i="8"/>
  <c r="G125" i="8"/>
  <c r="AW124" i="8"/>
  <c r="M124" i="8"/>
  <c r="AW123" i="8"/>
  <c r="M123" i="8"/>
  <c r="AK121" i="8"/>
  <c r="Y121" i="8"/>
  <c r="M121" i="8"/>
  <c r="Y119" i="8"/>
  <c r="M119" i="8"/>
  <c r="AW118" i="8"/>
  <c r="AK118" i="8"/>
  <c r="AK117" i="8"/>
  <c r="AK116" i="8"/>
  <c r="AK115" i="8"/>
  <c r="Y114" i="8"/>
  <c r="M114" i="8"/>
  <c r="G114" i="8"/>
  <c r="M113" i="8"/>
  <c r="G113" i="8"/>
  <c r="AK108" i="8"/>
  <c r="Y108" i="8"/>
  <c r="M108" i="8"/>
  <c r="G105" i="8"/>
  <c r="AK98" i="8"/>
  <c r="G98" i="8"/>
  <c r="Y94" i="8"/>
  <c r="M91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G151" i="8"/>
  <c r="AW150" i="8"/>
  <c r="AK150" i="8"/>
  <c r="Y150" i="8"/>
  <c r="M150" i="8"/>
  <c r="G150" i="8"/>
  <c r="AW149" i="8"/>
  <c r="AK149" i="8"/>
  <c r="Y149" i="8"/>
  <c r="M149" i="8"/>
  <c r="G149" i="8"/>
  <c r="AW148" i="8"/>
  <c r="AK148" i="8"/>
  <c r="Y148" i="8"/>
  <c r="M148" i="8"/>
  <c r="G148" i="8"/>
  <c r="AW147" i="8"/>
  <c r="AK147" i="8"/>
  <c r="Y147" i="8"/>
  <c r="M147" i="8"/>
  <c r="G147" i="8"/>
  <c r="AW146" i="8"/>
  <c r="AK146" i="8"/>
  <c r="Y146" i="8"/>
  <c r="M146" i="8"/>
  <c r="G146" i="8"/>
  <c r="AW145" i="8"/>
  <c r="AK145" i="8"/>
  <c r="Y145" i="8"/>
  <c r="M145" i="8"/>
  <c r="G145" i="8"/>
  <c r="AW144" i="8"/>
  <c r="AK144" i="8"/>
  <c r="Y144" i="8"/>
  <c r="M144" i="8"/>
  <c r="G144" i="8"/>
  <c r="AW143" i="8"/>
  <c r="AK143" i="8"/>
  <c r="Y143" i="8"/>
  <c r="M143" i="8"/>
  <c r="G143" i="8"/>
  <c r="AW142" i="8"/>
  <c r="AK142" i="8"/>
  <c r="Y142" i="8"/>
  <c r="M142" i="8"/>
  <c r="G142" i="8"/>
  <c r="AW141" i="8"/>
  <c r="AK141" i="8"/>
  <c r="Y141" i="8"/>
  <c r="M141" i="8"/>
  <c r="AK110" i="8"/>
  <c r="Y110" i="8"/>
  <c r="M110" i="8"/>
  <c r="G110" i="8"/>
  <c r="AK109" i="8"/>
  <c r="Y109" i="8"/>
  <c r="M109" i="8"/>
  <c r="G109" i="8"/>
  <c r="AW107" i="8"/>
  <c r="Y107" i="8"/>
  <c r="M107" i="8"/>
  <c r="G107" i="8"/>
  <c r="AK106" i="8"/>
  <c r="Y106" i="8"/>
  <c r="M106" i="8"/>
  <c r="G106" i="8"/>
  <c r="AK105" i="8"/>
  <c r="Y104" i="8"/>
  <c r="M104" i="8"/>
  <c r="G104" i="8"/>
  <c r="AK103" i="8"/>
  <c r="Y103" i="8"/>
  <c r="M103" i="8"/>
  <c r="G103" i="8"/>
  <c r="AK102" i="8"/>
  <c r="Y102" i="8"/>
  <c r="M102" i="8"/>
  <c r="G102" i="8"/>
  <c r="AK101" i="8"/>
  <c r="Y101" i="8"/>
  <c r="M101" i="8"/>
  <c r="G101" i="8"/>
  <c r="AK100" i="8"/>
  <c r="Y100" i="8"/>
  <c r="M100" i="8"/>
  <c r="G100" i="8"/>
  <c r="AK99" i="8"/>
  <c r="Y99" i="8"/>
  <c r="M99" i="8"/>
  <c r="G99" i="8"/>
  <c r="AK97" i="8"/>
  <c r="Y97" i="8"/>
  <c r="M97" i="8"/>
  <c r="G97" i="8"/>
  <c r="Y95" i="8"/>
  <c r="M95" i="8"/>
  <c r="G95" i="8"/>
  <c r="AK93" i="8"/>
  <c r="Y93" i="8"/>
  <c r="M93" i="8"/>
  <c r="Y89" i="8"/>
  <c r="G89" i="8"/>
  <c r="G88" i="8"/>
  <c r="G85" i="8"/>
  <c r="M83" i="8"/>
  <c r="M76" i="8"/>
  <c r="G76" i="8"/>
  <c r="G70" i="8"/>
  <c r="AK140" i="8"/>
  <c r="M140" i="8"/>
  <c r="AK138" i="8"/>
  <c r="Y138" i="8"/>
  <c r="M138" i="8"/>
  <c r="AW137" i="8"/>
  <c r="AK137" i="8"/>
  <c r="Y137" i="8"/>
  <c r="AK136" i="8"/>
  <c r="Y136" i="8"/>
  <c r="M136" i="8"/>
  <c r="G136" i="8"/>
  <c r="AK134" i="8"/>
  <c r="Y134" i="8"/>
  <c r="M134" i="8"/>
  <c r="AK132" i="8"/>
  <c r="Y132" i="8"/>
  <c r="M132" i="8"/>
  <c r="AW131" i="8"/>
  <c r="G131" i="8"/>
  <c r="AW130" i="8"/>
  <c r="AK128" i="8"/>
  <c r="Y128" i="8"/>
  <c r="M128" i="8"/>
  <c r="M127" i="8"/>
  <c r="AK125" i="8"/>
  <c r="Y125" i="8"/>
  <c r="M125" i="8"/>
  <c r="AK123" i="8"/>
  <c r="Y123" i="8"/>
  <c r="G123" i="8"/>
  <c r="AW122" i="8"/>
  <c r="G122" i="8"/>
  <c r="AW121" i="8"/>
  <c r="G121" i="8"/>
  <c r="AW120" i="8"/>
  <c r="G120" i="8"/>
  <c r="G119" i="8"/>
  <c r="AW117" i="8"/>
  <c r="Y117" i="8"/>
  <c r="M117" i="8"/>
  <c r="G117" i="8"/>
  <c r="AW115" i="8"/>
  <c r="Y115" i="8"/>
  <c r="M115" i="8"/>
  <c r="G115" i="8"/>
  <c r="M112" i="8"/>
  <c r="G112" i="8"/>
  <c r="G111" i="8"/>
  <c r="G108" i="8"/>
  <c r="M98" i="8"/>
  <c r="AK96" i="8"/>
  <c r="M96" i="8"/>
  <c r="G96" i="8"/>
  <c r="M92" i="8"/>
  <c r="G91" i="8"/>
  <c r="Y90" i="8"/>
  <c r="M90" i="8"/>
  <c r="G90" i="8"/>
  <c r="M88" i="8"/>
  <c r="M86" i="8"/>
  <c r="G86" i="8"/>
  <c r="M84" i="8"/>
  <c r="G84" i="8"/>
  <c r="M82" i="8"/>
  <c r="G82" i="8"/>
  <c r="M80" i="8"/>
  <c r="G80" i="8"/>
  <c r="M79" i="8"/>
  <c r="G79" i="8"/>
  <c r="G78" i="8"/>
  <c r="M77" i="8"/>
  <c r="G77" i="8"/>
  <c r="M75" i="8"/>
  <c r="G75" i="8"/>
  <c r="M74" i="8"/>
  <c r="G74" i="8"/>
  <c r="M73" i="8"/>
  <c r="G73" i="8"/>
  <c r="M71" i="8"/>
  <c r="G71" i="8"/>
  <c r="M69" i="8"/>
  <c r="G69" i="8"/>
  <c r="M68" i="8"/>
  <c r="G68" i="8"/>
  <c r="M64" i="8"/>
  <c r="G64" i="8"/>
  <c r="M61" i="8"/>
  <c r="G61" i="8"/>
  <c r="M60" i="8"/>
  <c r="G60" i="8"/>
  <c r="M59" i="8"/>
  <c r="G59" i="8"/>
  <c r="G58" i="8"/>
  <c r="G55" i="8"/>
  <c r="G54" i="8"/>
  <c r="M7" i="8"/>
  <c r="G7" i="8"/>
  <c r="AK6" i="8"/>
  <c r="AW5" i="8"/>
  <c r="M5" i="8"/>
  <c r="G5" i="8"/>
  <c r="AK4" i="8"/>
  <c r="Y4" i="8"/>
  <c r="M4" i="8"/>
  <c r="G4" i="8"/>
  <c r="AK3" i="8"/>
  <c r="Y3" i="8"/>
  <c r="M3" i="8"/>
  <c r="G3" i="8"/>
  <c r="AW2" i="8"/>
  <c r="AK2" i="8"/>
  <c r="Y2" i="8"/>
  <c r="AW18" i="8"/>
  <c r="AK18" i="8"/>
  <c r="Y18" i="8"/>
  <c r="M18" i="8"/>
  <c r="G18" i="8"/>
  <c r="AW17" i="8"/>
  <c r="AK17" i="8"/>
  <c r="Y17" i="8"/>
  <c r="M17" i="8"/>
  <c r="G17" i="8"/>
  <c r="AW16" i="8"/>
  <c r="AK16" i="8"/>
  <c r="Y16" i="8"/>
  <c r="M16" i="8"/>
  <c r="G16" i="8"/>
  <c r="AW15" i="8"/>
  <c r="AK15" i="8"/>
  <c r="Y15" i="8"/>
  <c r="M15" i="8"/>
  <c r="G15" i="8"/>
  <c r="AW14" i="8"/>
  <c r="AK14" i="8"/>
  <c r="Y14" i="8"/>
  <c r="M14" i="8"/>
  <c r="G14" i="8"/>
  <c r="AW13" i="8"/>
  <c r="AK13" i="8"/>
  <c r="Y13" i="8"/>
  <c r="M13" i="8"/>
  <c r="G13" i="8"/>
  <c r="AW12" i="8"/>
  <c r="AK12" i="8"/>
  <c r="Y12" i="8"/>
  <c r="M12" i="8"/>
  <c r="G12" i="8"/>
  <c r="AW11" i="8"/>
  <c r="AK11" i="8"/>
  <c r="Y11" i="8"/>
  <c r="M11" i="8"/>
  <c r="G11" i="8"/>
  <c r="AW10" i="8"/>
  <c r="AK10" i="8"/>
  <c r="Y10" i="8"/>
  <c r="M10" i="8"/>
  <c r="G10" i="8"/>
  <c r="AW9" i="8"/>
  <c r="AK9" i="8"/>
  <c r="Y9" i="8"/>
  <c r="M9" i="8"/>
  <c r="G9" i="8"/>
  <c r="AW8" i="8"/>
  <c r="AK8" i="8"/>
  <c r="Y8" i="8"/>
  <c r="M8" i="8"/>
  <c r="G8" i="8"/>
  <c r="AW7" i="8"/>
  <c r="AK7" i="8"/>
  <c r="Y7" i="8"/>
  <c r="AW6" i="8"/>
  <c r="Y6" i="8"/>
  <c r="M6" i="8"/>
  <c r="G6" i="8"/>
  <c r="AK5" i="8"/>
  <c r="Y5" i="8"/>
  <c r="AW4" i="8"/>
  <c r="AW3" i="8"/>
  <c r="M2" i="8"/>
  <c r="G2" i="8"/>
  <c r="P2" i="4" l="1" a="1"/>
  <c r="Q2" i="4" a="1"/>
  <c r="S2" i="4" a="1"/>
  <c r="R2" i="4" a="1"/>
  <c r="D49" i="4"/>
  <c r="C50" i="4"/>
  <c r="B53" i="4"/>
  <c r="F53" i="4"/>
  <c r="E54" i="4"/>
  <c r="C55" i="4"/>
  <c r="E55" i="4"/>
  <c r="F55" i="4"/>
  <c r="B56" i="4"/>
  <c r="E56" i="4"/>
  <c r="G56" i="4"/>
  <c r="A57" i="4"/>
  <c r="C57" i="4"/>
  <c r="E57" i="4"/>
  <c r="B41" i="4"/>
  <c r="B32" i="4" s="1" a="1"/>
  <c r="B32" i="4" s="1"/>
  <c r="C24" i="1" s="1"/>
  <c r="D41" i="4"/>
  <c r="D32" i="4" s="1" a="1"/>
  <c r="D32" i="4" s="1"/>
  <c r="H24" i="1" s="1"/>
  <c r="G41" i="4"/>
  <c r="G32" i="4" s="1" a="1"/>
  <c r="G32" i="4" s="1"/>
  <c r="A42" i="4"/>
  <c r="A33" i="4" s="1" a="1"/>
  <c r="A33" i="4" s="1"/>
  <c r="B25" i="1" s="1"/>
  <c r="C42" i="4"/>
  <c r="C33" i="4" s="1" a="1"/>
  <c r="C33" i="4" s="1"/>
  <c r="E25" i="1" s="1"/>
  <c r="E42" i="4"/>
  <c r="E33" i="4" s="1" a="1"/>
  <c r="E33" i="4" s="1"/>
  <c r="I25" i="1" s="1"/>
  <c r="A44" i="4"/>
  <c r="A35" i="4" s="1" a="1"/>
  <c r="A35" i="4" s="1"/>
  <c r="B27" i="1" s="1"/>
  <c r="F45" i="4"/>
  <c r="F36" i="4" s="1" a="1"/>
  <c r="F36" i="4" s="1"/>
  <c r="J29" i="1" s="1"/>
  <c r="E47" i="4"/>
  <c r="F47" i="4"/>
  <c r="C48" i="4"/>
  <c r="C49" i="4"/>
  <c r="E50" i="4"/>
  <c r="F50" i="4"/>
  <c r="F51" i="4"/>
  <c r="G51" i="4"/>
  <c r="A52" i="4"/>
  <c r="E53" i="4"/>
  <c r="A54" i="4"/>
  <c r="B54" i="4"/>
  <c r="F54" i="4"/>
  <c r="D55" i="4"/>
  <c r="G55" i="4"/>
  <c r="A56" i="4"/>
  <c r="C56" i="4"/>
  <c r="D56" i="4"/>
  <c r="B57" i="4"/>
  <c r="D57" i="4"/>
  <c r="D58" i="4"/>
  <c r="E58" i="4"/>
  <c r="G58" i="4"/>
  <c r="B59" i="4"/>
  <c r="C59" i="4"/>
  <c r="E59" i="4"/>
  <c r="F59" i="4"/>
  <c r="G59" i="4"/>
  <c r="A60" i="4"/>
  <c r="B60" i="4"/>
  <c r="D60" i="4"/>
  <c r="F60" i="4"/>
  <c r="A61" i="4"/>
  <c r="C61" i="4"/>
  <c r="D61" i="4"/>
  <c r="F61" i="4"/>
  <c r="A62" i="4"/>
  <c r="C62" i="4"/>
  <c r="E62" i="4"/>
  <c r="G62" i="4"/>
  <c r="A63" i="4"/>
  <c r="C63" i="4"/>
  <c r="G63" i="4"/>
  <c r="B42" i="4"/>
  <c r="B33" i="4" s="1" a="1"/>
  <c r="B33" i="4" s="1"/>
  <c r="C25" i="1" s="1"/>
  <c r="F42" i="4"/>
  <c r="F33" i="4" s="1" a="1"/>
  <c r="F33" i="4" s="1"/>
  <c r="J25" i="1" s="1"/>
  <c r="G42" i="4"/>
  <c r="G33" i="4" s="1" a="1"/>
  <c r="G33" i="4" s="1"/>
  <c r="D43" i="4"/>
  <c r="D34" i="4" s="1" a="1"/>
  <c r="D34" i="4" s="1"/>
  <c r="H26" i="1" s="1"/>
  <c r="E43" i="4"/>
  <c r="E34" i="4" s="1" a="1"/>
  <c r="E34" i="4" s="1"/>
  <c r="I26" i="1" s="1"/>
  <c r="F43" i="4"/>
  <c r="F34" i="4" s="1" a="1"/>
  <c r="F34" i="4" s="1"/>
  <c r="J26" i="1" s="1"/>
  <c r="B44" i="4"/>
  <c r="B35" i="4" s="1" a="1"/>
  <c r="B35" i="4" s="1"/>
  <c r="C27" i="1" s="1"/>
  <c r="C44" i="4"/>
  <c r="C35" i="4" s="1" a="1"/>
  <c r="C35" i="4" s="1"/>
  <c r="E27" i="1" s="1"/>
  <c r="D44" i="4"/>
  <c r="D35" i="4" s="1" a="1"/>
  <c r="D35" i="4" s="1"/>
  <c r="H27" i="1" s="1"/>
  <c r="E44" i="4"/>
  <c r="E35" i="4" s="1" a="1"/>
  <c r="E35" i="4" s="1"/>
  <c r="I27" i="1" s="1"/>
  <c r="F44" i="4"/>
  <c r="F35" i="4" s="1" a="1"/>
  <c r="F35" i="4" s="1"/>
  <c r="J27" i="1" s="1"/>
  <c r="C45" i="4"/>
  <c r="C36" i="4" s="1" a="1"/>
  <c r="C36" i="4" s="1"/>
  <c r="E29" i="1" s="1"/>
  <c r="G45" i="4"/>
  <c r="G36" i="4" s="1" a="1"/>
  <c r="G36" i="4" s="1"/>
  <c r="A46" i="4"/>
  <c r="B46" i="4"/>
  <c r="C46" i="4"/>
  <c r="D46" i="4"/>
  <c r="E46" i="4"/>
  <c r="G46" i="4"/>
  <c r="C47" i="4"/>
  <c r="D47" i="4"/>
  <c r="A48" i="4"/>
  <c r="D48" i="4"/>
  <c r="F48" i="4"/>
  <c r="B49" i="4"/>
  <c r="G49" i="4"/>
  <c r="A50" i="4"/>
  <c r="B50" i="4"/>
  <c r="B51" i="4"/>
  <c r="C51" i="4"/>
  <c r="D51" i="4"/>
  <c r="G52" i="4"/>
  <c r="A53" i="4"/>
  <c r="C53" i="4"/>
  <c r="D53" i="4"/>
  <c r="G53" i="4"/>
  <c r="C54" i="4"/>
  <c r="G54" i="4"/>
  <c r="B55" i="4"/>
  <c r="A41" i="4"/>
  <c r="A32" i="4" s="1" a="1"/>
  <c r="A32" i="4" s="1"/>
  <c r="B24" i="1" s="1"/>
  <c r="C41" i="4"/>
  <c r="C32" i="4" s="1" a="1"/>
  <c r="C32" i="4" s="1"/>
  <c r="E24" i="1" s="1"/>
  <c r="E41" i="4"/>
  <c r="E32" i="4" s="1" a="1"/>
  <c r="E32" i="4" s="1"/>
  <c r="I24" i="1" s="1"/>
  <c r="F41" i="4"/>
  <c r="F32" i="4" s="1" a="1"/>
  <c r="F32" i="4" s="1"/>
  <c r="J24" i="1" s="1"/>
  <c r="D42" i="4"/>
  <c r="D33" i="4" s="1" a="1"/>
  <c r="D33" i="4" s="1"/>
  <c r="H25" i="1" s="1"/>
  <c r="A43" i="4"/>
  <c r="A34" i="4" s="1" a="1"/>
  <c r="A34" i="4" s="1"/>
  <c r="B26" i="1" s="1"/>
  <c r="B43" i="4"/>
  <c r="B34" i="4" s="1" a="1"/>
  <c r="B34" i="4" s="1"/>
  <c r="C26" i="1" s="1"/>
  <c r="C43" i="4"/>
  <c r="C34" i="4" s="1" a="1"/>
  <c r="C34" i="4" s="1"/>
  <c r="E26" i="1" s="1"/>
  <c r="G43" i="4"/>
  <c r="G34" i="4" s="1" a="1"/>
  <c r="G34" i="4" s="1"/>
  <c r="G44" i="4"/>
  <c r="G35" i="4" s="1" a="1"/>
  <c r="G35" i="4" s="1"/>
  <c r="A45" i="4"/>
  <c r="A36" i="4" s="1" a="1"/>
  <c r="A36" i="4" s="1"/>
  <c r="B29" i="1" s="1"/>
  <c r="B45" i="4"/>
  <c r="B36" i="4" s="1" a="1"/>
  <c r="B36" i="4" s="1"/>
  <c r="C29" i="1" s="1"/>
  <c r="D45" i="4"/>
  <c r="D36" i="4" s="1" a="1"/>
  <c r="D36" i="4" s="1"/>
  <c r="H29" i="1" s="1"/>
  <c r="E45" i="4"/>
  <c r="E36" i="4" s="1" a="1"/>
  <c r="E36" i="4" s="1"/>
  <c r="I29" i="1" s="1"/>
  <c r="F46" i="4"/>
  <c r="A47" i="4"/>
  <c r="B47" i="4"/>
  <c r="G47" i="4"/>
  <c r="B48" i="4"/>
  <c r="E48" i="4"/>
  <c r="G48" i="4"/>
  <c r="A49" i="4"/>
  <c r="E49" i="4"/>
  <c r="F49" i="4"/>
  <c r="D50" i="4"/>
  <c r="G50" i="4"/>
  <c r="A51" i="4"/>
  <c r="E51" i="4"/>
  <c r="B52" i="4"/>
  <c r="C52" i="4"/>
  <c r="D52" i="4"/>
  <c r="E52" i="4"/>
  <c r="F52" i="4"/>
  <c r="D54" i="4"/>
  <c r="A55" i="4"/>
  <c r="F56" i="4"/>
  <c r="F57" i="4"/>
  <c r="G57" i="4"/>
  <c r="A58" i="4"/>
  <c r="B58" i="4"/>
  <c r="C58" i="4"/>
  <c r="F58" i="4"/>
  <c r="A59" i="4"/>
  <c r="D59" i="4"/>
  <c r="C60" i="4"/>
  <c r="E60" i="4"/>
  <c r="G60" i="4"/>
  <c r="B61" i="4"/>
  <c r="E61" i="4"/>
  <c r="G61" i="4"/>
  <c r="B62" i="4"/>
  <c r="D62" i="4"/>
  <c r="F62" i="4"/>
  <c r="B63" i="4"/>
  <c r="D63" i="4"/>
  <c r="E63" i="4"/>
  <c r="F63" i="4"/>
  <c r="A64" i="4"/>
  <c r="B64" i="4"/>
  <c r="C64" i="4"/>
  <c r="D64" i="4"/>
  <c r="E64" i="4"/>
  <c r="F64" i="4"/>
  <c r="G64" i="4"/>
  <c r="B9" i="1"/>
  <c r="B12" i="1"/>
  <c r="P3" i="4" l="1"/>
  <c r="P4" i="4"/>
  <c r="P5" i="4"/>
  <c r="P6" i="4"/>
  <c r="P7" i="4"/>
  <c r="P8" i="4"/>
  <c r="P9" i="4"/>
  <c r="P10" i="4"/>
  <c r="P11" i="4"/>
  <c r="P2" i="4"/>
  <c r="S492" i="4"/>
  <c r="S493" i="4"/>
  <c r="S498" i="4"/>
  <c r="S499" i="4"/>
  <c r="S542" i="4"/>
  <c r="S543" i="4"/>
  <c r="S561" i="4"/>
  <c r="S491" i="4"/>
  <c r="S486" i="4"/>
  <c r="S468" i="4"/>
  <c r="S432" i="4"/>
  <c r="S408" i="4"/>
  <c r="S572" i="4"/>
  <c r="S563" i="4"/>
  <c r="S532" i="4"/>
  <c r="S527" i="4"/>
  <c r="S510" i="4"/>
  <c r="S488" i="4"/>
  <c r="S472" i="4"/>
  <c r="S435" i="4"/>
  <c r="S428" i="4"/>
  <c r="S419" i="4"/>
  <c r="S549" i="4"/>
  <c r="S539" i="4"/>
  <c r="S518" i="4"/>
  <c r="S475" i="4"/>
  <c r="S446" i="4"/>
  <c r="S439" i="4"/>
  <c r="S437" i="4"/>
  <c r="S436" i="4"/>
  <c r="S431" i="4"/>
  <c r="S417" i="4"/>
  <c r="S416" i="4"/>
  <c r="S407" i="4"/>
  <c r="S403" i="4"/>
  <c r="S566" i="4"/>
  <c r="S480" i="4"/>
  <c r="S545" i="4"/>
  <c r="S564" i="4"/>
  <c r="S443" i="4"/>
  <c r="S458" i="4"/>
  <c r="S462" i="4"/>
  <c r="S494" i="4"/>
  <c r="S495" i="4"/>
  <c r="S519" i="4"/>
  <c r="S524" i="4"/>
  <c r="S525" i="4"/>
  <c r="S508" i="4"/>
  <c r="S537" i="4"/>
  <c r="S540" i="4"/>
  <c r="S548" i="4"/>
  <c r="S556" i="4"/>
  <c r="S570" i="4"/>
  <c r="S573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562" i="4"/>
  <c r="S568" i="4"/>
  <c r="S429" i="4"/>
  <c r="S479" i="4"/>
  <c r="S534" i="4"/>
  <c r="S412" i="4"/>
  <c r="S520" i="4"/>
  <c r="S500" i="4"/>
  <c r="S411" i="4"/>
  <c r="S571" i="4"/>
  <c r="S505" i="4"/>
  <c r="S515" i="4"/>
  <c r="S517" i="4"/>
  <c r="S503" i="4"/>
  <c r="S530" i="4"/>
  <c r="S546" i="4"/>
  <c r="S39" i="4"/>
  <c r="S41" i="4"/>
  <c r="S42" i="4"/>
  <c r="S48" i="4"/>
  <c r="S51" i="4"/>
  <c r="S53" i="4"/>
  <c r="S60" i="4"/>
  <c r="S66" i="4"/>
  <c r="S67" i="4"/>
  <c r="S68" i="4"/>
  <c r="S69" i="4"/>
  <c r="S73" i="4"/>
  <c r="S74" i="4"/>
  <c r="S75" i="4"/>
  <c r="S76" i="4"/>
  <c r="S84" i="4"/>
  <c r="S89" i="4"/>
  <c r="S97" i="4"/>
  <c r="S112" i="4"/>
  <c r="S114" i="4"/>
  <c r="S115" i="4"/>
  <c r="S123" i="4"/>
  <c r="S128" i="4"/>
  <c r="S130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5" i="4"/>
  <c r="S178" i="4"/>
  <c r="S179" i="4"/>
  <c r="S181" i="4"/>
  <c r="S184" i="4"/>
  <c r="S187" i="4"/>
  <c r="S189" i="4"/>
  <c r="S190" i="4"/>
  <c r="S191" i="4"/>
  <c r="S193" i="4"/>
  <c r="S196" i="4"/>
  <c r="S199" i="4"/>
  <c r="S201" i="4"/>
  <c r="S205" i="4"/>
  <c r="S207" i="4"/>
  <c r="S209" i="4"/>
  <c r="S210" i="4"/>
  <c r="S211" i="4"/>
  <c r="S212" i="4"/>
  <c r="S214" i="4"/>
  <c r="S215" i="4"/>
  <c r="S217" i="4"/>
  <c r="S218" i="4"/>
  <c r="S219" i="4"/>
  <c r="S220" i="4"/>
  <c r="S221" i="4"/>
  <c r="S223" i="4"/>
  <c r="S226" i="4"/>
  <c r="S228" i="4"/>
  <c r="S231" i="4"/>
  <c r="S233" i="4"/>
  <c r="S236" i="4"/>
  <c r="S240" i="4"/>
  <c r="S242" i="4"/>
  <c r="S243" i="4"/>
  <c r="S245" i="4"/>
  <c r="S247" i="4"/>
  <c r="S249" i="4"/>
  <c r="S253" i="4"/>
  <c r="S255" i="4"/>
  <c r="S260" i="4"/>
  <c r="S262" i="4"/>
  <c r="S263" i="4"/>
  <c r="S264" i="4"/>
  <c r="S265" i="4"/>
  <c r="S266" i="4"/>
  <c r="S267" i="4"/>
  <c r="S269" i="4"/>
  <c r="S272" i="4"/>
  <c r="S274" i="4"/>
  <c r="S275" i="4"/>
  <c r="S276" i="4"/>
  <c r="S277" i="4"/>
  <c r="S278" i="4"/>
  <c r="S279" i="4"/>
  <c r="S280" i="4"/>
  <c r="S281" i="4"/>
  <c r="S282" i="4"/>
  <c r="S283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93" i="4"/>
  <c r="S395" i="4"/>
  <c r="S396" i="4"/>
  <c r="S397" i="4"/>
  <c r="S398" i="4"/>
  <c r="S399" i="4"/>
  <c r="S400" i="4"/>
  <c r="S402" i="4"/>
  <c r="S464" i="4"/>
  <c r="S414" i="4"/>
  <c r="S444" i="4"/>
  <c r="S445" i="4"/>
  <c r="S447" i="4"/>
  <c r="S448" i="4"/>
  <c r="S466" i="4"/>
  <c r="S471" i="4"/>
  <c r="S478" i="4"/>
  <c r="S523" i="4"/>
  <c r="S506" i="4"/>
  <c r="S511" i="4"/>
  <c r="S521" i="4"/>
  <c r="S526" i="4"/>
  <c r="S531" i="4"/>
  <c r="S558" i="4"/>
  <c r="S467" i="4"/>
  <c r="S544" i="4"/>
  <c r="S560" i="4"/>
  <c r="S404" i="4"/>
  <c r="S405" i="4"/>
  <c r="S410" i="4"/>
  <c r="S426" i="4"/>
  <c r="S434" i="4"/>
  <c r="S438" i="4"/>
  <c r="S442" i="4"/>
  <c r="S453" i="4"/>
  <c r="S406" i="4"/>
  <c r="S420" i="4"/>
  <c r="S425" i="4"/>
  <c r="S427" i="4"/>
  <c r="S450" i="4"/>
  <c r="S455" i="4"/>
  <c r="Q5" i="4"/>
  <c r="Q11" i="4"/>
  <c r="Q13" i="4"/>
  <c r="Q14" i="4"/>
  <c r="Q15" i="4"/>
  <c r="R4" i="4"/>
  <c r="R5" i="4"/>
  <c r="R7" i="4"/>
  <c r="Q9" i="4"/>
  <c r="S43" i="4"/>
  <c r="S49" i="4"/>
  <c r="S50" i="4"/>
  <c r="S56" i="4"/>
  <c r="S59" i="4"/>
  <c r="S61" i="4"/>
  <c r="S71" i="4"/>
  <c r="S78" i="4"/>
  <c r="S80" i="4"/>
  <c r="S87" i="4"/>
  <c r="S88" i="4"/>
  <c r="S91" i="4"/>
  <c r="S92" i="4"/>
  <c r="S93" i="4"/>
  <c r="S94" i="4"/>
  <c r="S95" i="4"/>
  <c r="S96" i="4"/>
  <c r="S98" i="4"/>
  <c r="S99" i="4"/>
  <c r="S101" i="4"/>
  <c r="S102" i="4"/>
  <c r="S103" i="4"/>
  <c r="S104" i="4"/>
  <c r="S108" i="4"/>
  <c r="S110" i="4"/>
  <c r="S119" i="4"/>
  <c r="S120" i="4"/>
  <c r="S121" i="4"/>
  <c r="S122" i="4"/>
  <c r="S124" i="4"/>
  <c r="S125" i="4"/>
  <c r="S126" i="4"/>
  <c r="S129" i="4"/>
  <c r="S131" i="4"/>
  <c r="S133" i="4"/>
  <c r="S136" i="4"/>
  <c r="S137" i="4"/>
  <c r="S138" i="4"/>
  <c r="S140" i="4"/>
  <c r="S141" i="4"/>
  <c r="S383" i="4"/>
  <c r="S384" i="4"/>
  <c r="S385" i="4"/>
  <c r="S386" i="4"/>
  <c r="S387" i="4"/>
  <c r="S388" i="4"/>
  <c r="S389" i="4"/>
  <c r="S390" i="4"/>
  <c r="S391" i="4"/>
  <c r="S392" i="4"/>
  <c r="S394" i="4"/>
  <c r="S401" i="4"/>
  <c r="S413" i="4"/>
  <c r="S430" i="4"/>
  <c r="S456" i="4"/>
  <c r="S529" i="4"/>
  <c r="S538" i="4"/>
  <c r="S551" i="4"/>
  <c r="S34" i="4"/>
  <c r="S37" i="4"/>
  <c r="S38" i="4"/>
  <c r="S45" i="4"/>
  <c r="S46" i="4"/>
  <c r="S54" i="4"/>
  <c r="S58" i="4"/>
  <c r="S65" i="4"/>
  <c r="S70" i="4"/>
  <c r="S77" i="4"/>
  <c r="S79" i="4"/>
  <c r="S82" i="4"/>
  <c r="S83" i="4"/>
  <c r="S85" i="4"/>
  <c r="S86" i="4"/>
  <c r="S100" i="4"/>
  <c r="S105" i="4"/>
  <c r="S111" i="4"/>
  <c r="S113" i="4"/>
  <c r="S117" i="4"/>
  <c r="S118" i="4"/>
  <c r="S127" i="4"/>
  <c r="S132" i="4"/>
  <c r="S134" i="4"/>
  <c r="S135" i="4"/>
  <c r="S139" i="4"/>
  <c r="S142" i="4"/>
  <c r="S171" i="4"/>
  <c r="S172" i="4"/>
  <c r="S173" i="4"/>
  <c r="S174" i="4"/>
  <c r="S176" i="4"/>
  <c r="S177" i="4"/>
  <c r="S180" i="4"/>
  <c r="S182" i="4"/>
  <c r="S183" i="4"/>
  <c r="S185" i="4"/>
  <c r="S186" i="4"/>
  <c r="S188" i="4"/>
  <c r="S192" i="4"/>
  <c r="S194" i="4"/>
  <c r="S195" i="4"/>
  <c r="S197" i="4"/>
  <c r="S198" i="4"/>
  <c r="S200" i="4"/>
  <c r="S202" i="4"/>
  <c r="S203" i="4"/>
  <c r="S204" i="4"/>
  <c r="S206" i="4"/>
  <c r="S208" i="4"/>
  <c r="S213" i="4"/>
  <c r="S216" i="4"/>
  <c r="S222" i="4"/>
  <c r="S224" i="4"/>
  <c r="S225" i="4"/>
  <c r="S227" i="4"/>
  <c r="S229" i="4"/>
  <c r="S230" i="4"/>
  <c r="S232" i="4"/>
  <c r="S234" i="4"/>
  <c r="S235" i="4"/>
  <c r="S237" i="4"/>
  <c r="S238" i="4"/>
  <c r="S239" i="4"/>
  <c r="S241" i="4"/>
  <c r="S244" i="4"/>
  <c r="S246" i="4"/>
  <c r="S248" i="4"/>
  <c r="S250" i="4"/>
  <c r="S251" i="4"/>
  <c r="S252" i="4"/>
  <c r="S254" i="4"/>
  <c r="S256" i="4"/>
  <c r="S257" i="4"/>
  <c r="S258" i="4"/>
  <c r="S259" i="4"/>
  <c r="S261" i="4"/>
  <c r="S268" i="4"/>
  <c r="S270" i="4"/>
  <c r="S271" i="4"/>
  <c r="S273" i="4"/>
  <c r="S284" i="4"/>
  <c r="S541" i="4"/>
  <c r="S550" i="4"/>
  <c r="S559" i="4"/>
  <c r="S409" i="4"/>
  <c r="S423" i="4"/>
  <c r="S482" i="4"/>
  <c r="S483" i="4"/>
  <c r="S512" i="4"/>
  <c r="S35" i="4"/>
  <c r="S36" i="4"/>
  <c r="S40" i="4"/>
  <c r="S44" i="4"/>
  <c r="S47" i="4"/>
  <c r="S52" i="4"/>
  <c r="S55" i="4"/>
  <c r="S57" i="4"/>
  <c r="S62" i="4"/>
  <c r="S63" i="4"/>
  <c r="S64" i="4"/>
  <c r="S72" i="4"/>
  <c r="S81" i="4"/>
  <c r="S90" i="4"/>
  <c r="S106" i="4"/>
  <c r="S107" i="4"/>
  <c r="S109" i="4"/>
  <c r="S116" i="4"/>
  <c r="S418" i="4"/>
  <c r="S422" i="4"/>
  <c r="S424" i="4"/>
  <c r="S433" i="4"/>
  <c r="S465" i="4"/>
  <c r="S474" i="4"/>
  <c r="S476" i="4"/>
  <c r="S496" i="4"/>
  <c r="S497" i="4"/>
  <c r="S501" i="4"/>
  <c r="S509" i="4"/>
  <c r="S516" i="4"/>
  <c r="S522" i="4"/>
  <c r="S536" i="4"/>
  <c r="S565" i="4"/>
  <c r="S421" i="4"/>
  <c r="S452" i="4"/>
  <c r="S454" i="4"/>
  <c r="S459" i="4"/>
  <c r="S460" i="4"/>
  <c r="S461" i="4"/>
  <c r="S463" i="4"/>
  <c r="S473" i="4"/>
  <c r="S502" i="4"/>
  <c r="S504" i="4"/>
  <c r="S507" i="4"/>
  <c r="S513" i="4"/>
  <c r="S514" i="4"/>
  <c r="S528" i="4"/>
  <c r="S533" i="4"/>
  <c r="S535" i="4"/>
  <c r="S547" i="4"/>
  <c r="S552" i="4"/>
  <c r="S553" i="4"/>
  <c r="S554" i="4"/>
  <c r="S555" i="4"/>
  <c r="S557" i="4"/>
  <c r="S567" i="4"/>
  <c r="S569" i="4"/>
  <c r="S415" i="4"/>
  <c r="S440" i="4"/>
  <c r="S441" i="4"/>
  <c r="S449" i="4"/>
  <c r="S451" i="4"/>
  <c r="S457" i="4"/>
  <c r="S469" i="4"/>
  <c r="S470" i="4"/>
  <c r="S477" i="4"/>
  <c r="S481" i="4"/>
  <c r="S484" i="4"/>
  <c r="S485" i="4"/>
  <c r="S487" i="4"/>
  <c r="S489" i="4"/>
  <c r="S490" i="4"/>
  <c r="Q2" i="4"/>
  <c r="R3" i="4"/>
  <c r="R11" i="4"/>
  <c r="R15" i="4"/>
  <c r="R17" i="4"/>
  <c r="Q3" i="4"/>
  <c r="Q6" i="4"/>
  <c r="Q7" i="4"/>
  <c r="Q8" i="4"/>
  <c r="Q10" i="4"/>
  <c r="Q12" i="4"/>
  <c r="Q16" i="4"/>
  <c r="Q17" i="4"/>
  <c r="R2" i="4"/>
  <c r="R6" i="4"/>
  <c r="R8" i="4"/>
  <c r="R10" i="4"/>
  <c r="R12" i="4"/>
  <c r="R13" i="4"/>
  <c r="R14" i="4"/>
  <c r="R16" i="4"/>
  <c r="Q4" i="4"/>
  <c r="R9" i="4"/>
</calcChain>
</file>

<file path=xl/sharedStrings.xml><?xml version="1.0" encoding="utf-8"?>
<sst xmlns="http://schemas.openxmlformats.org/spreadsheetml/2006/main" count="388" uniqueCount="277">
  <si>
    <t>📖  USER GUIDE</t>
  </si>
  <si>
    <t>🚀  GETTING STARTED IN 5 STEPS</t>
  </si>
  <si>
    <t>Step 1</t>
  </si>
  <si>
    <t>Open the Dashboard tab — get an instant overview of all project risks, actions, issues and decisions</t>
  </si>
  <si>
    <t>Step 2</t>
  </si>
  <si>
    <t>Navigate to the relevant log (Risks, Actions, Issues, or Decisions) to register a new item</t>
  </si>
  <si>
    <t>Step 3</t>
  </si>
  <si>
    <t>Fill in all required fields — use the dropdowns to ensure consistency</t>
  </si>
  <si>
    <t>Step 4</t>
  </si>
  <si>
    <t>Assign an Owner and set a Due Date for accountability</t>
  </si>
  <si>
    <t>Step 5</t>
  </si>
  <si>
    <t>Return to Dashboard regularly to monitor KPIs and track overdue items</t>
  </si>
  <si>
    <t>📊  PROBABILITY SCALE</t>
  </si>
  <si>
    <t>10% — Remote</t>
  </si>
  <si>
    <t>Very unlikely to occur. Historical data shows &lt;10% occurrence rate</t>
  </si>
  <si>
    <t>30% — Unlikely</t>
  </si>
  <si>
    <t>Could occur but not expected. Some conditions present but manageable</t>
  </si>
  <si>
    <t>50% — Possible</t>
  </si>
  <si>
    <t>Equal chance of occurring or not. Requires active monitoring</t>
  </si>
  <si>
    <t>70% — Likely</t>
  </si>
  <si>
    <t>More probable than not. Multiple contributing factors present</t>
  </si>
  <si>
    <t>90% — Near Certain</t>
  </si>
  <si>
    <t>Almost certain to occur. Only extraordinary intervention prevents it</t>
  </si>
  <si>
    <t>💥  IMPACT SCALE</t>
  </si>
  <si>
    <t>1 — Negligible</t>
  </si>
  <si>
    <t>&lt; 1 day delay. No budget impact. Minimal quality deviation</t>
  </si>
  <si>
    <t>2 — Minor</t>
  </si>
  <si>
    <t>1-5 day delay. &lt; 5% budget impact. Minor quality issues, easily fixed</t>
  </si>
  <si>
    <t>3 — Moderate</t>
  </si>
  <si>
    <t>1-4 week delay. 5-10% budget impact. Noticeable quality reduction</t>
  </si>
  <si>
    <t>4 — Major</t>
  </si>
  <si>
    <t>1-3 month delay. 10-25% budget impact. Significant quality failure</t>
  </si>
  <si>
    <t>5 — Catastrophic</t>
  </si>
  <si>
    <t>&gt; 3 month delay or project cancellation. &gt; 25% budget impact. Critical failure</t>
  </si>
  <si>
    <t>📚  RAID GLOSSARY</t>
  </si>
  <si>
    <t>Risk</t>
  </si>
  <si>
    <t>An uncertain event that, if it occurs, could have a positive or negative impact on project objectives</t>
  </si>
  <si>
    <t>Action</t>
  </si>
  <si>
    <t>A specific task assigned to a team member to mitigate a risk, resolve an issue, or implement a decision</t>
  </si>
  <si>
    <t>Issue</t>
  </si>
  <si>
    <t>A current problem that is actively impacting the project (unlike a risk, which is uncertain)</t>
  </si>
  <si>
    <t>Decision</t>
  </si>
  <si>
    <t>A formal choice made by an authorized person that affects the project direction or approach</t>
  </si>
  <si>
    <t>Risk Score</t>
  </si>
  <si>
    <t>Calculated as Probability Rank (1-5) × Impact (1-5). Ranges: Low 1-4, Medium 5-9, High 10-15, Critical 16-25</t>
  </si>
  <si>
    <t>Severity (Issues)</t>
  </si>
  <si>
    <t>Sev1 = Critical system failure, Sev2 = Major feature blocked, Sev3 = Degraded performance, Sev4 = Cosmetic/minor</t>
  </si>
  <si>
    <t>Escalation</t>
  </si>
  <si>
    <t>Raising an item to higher authority when it exceeds the current handler's ability to resolve</t>
  </si>
  <si>
    <t>📊  RAID LOG</t>
  </si>
  <si>
    <t>Enterprise Cloud Migration Program</t>
  </si>
  <si>
    <t>PM: Sarah Chen</t>
  </si>
  <si>
    <t>OVERVIEW</t>
  </si>
  <si>
    <t>OPEN RISKS</t>
  </si>
  <si>
    <t>OPEN ACTIONS</t>
  </si>
  <si>
    <t>OPEN ISSUES</t>
  </si>
  <si>
    <t>DECISIONS</t>
  </si>
  <si>
    <t>🔴 CRITICAL ITEMS</t>
  </si>
  <si>
    <t>⏰ OVERDUE</t>
  </si>
  <si>
    <t>👤 UNASSIGNED</t>
  </si>
  <si>
    <t>✅ RESOLVED 7D</t>
  </si>
  <si>
    <t>RISK HEAT MAP</t>
  </si>
  <si>
    <t>IMPACT →</t>
  </si>
  <si>
    <t>1 Negligible</t>
  </si>
  <si>
    <t>2 Minor</t>
  </si>
  <si>
    <t>3 Moderate</t>
  </si>
  <si>
    <t>4 Major</t>
  </si>
  <si>
    <t>5 Catastrophic</t>
  </si>
  <si>
    <t>PROBABILITY ↓</t>
  </si>
  <si>
    <t>TOP 5 CRITICAL ITEMS</t>
  </si>
  <si>
    <t>TYPE</t>
  </si>
  <si>
    <t>ID</t>
  </si>
  <si>
    <t>DESCRIPTION</t>
  </si>
  <si>
    <t>PRIORITY</t>
  </si>
  <si>
    <t>OWNER</t>
  </si>
  <si>
    <t>DAYS OPEN</t>
  </si>
  <si>
    <t>STATUS DATA</t>
  </si>
  <si>
    <t>PRIORITY BY TYPE</t>
  </si>
  <si>
    <t>Status</t>
  </si>
  <si>
    <t>Count</t>
  </si>
  <si>
    <t>Type</t>
  </si>
  <si>
    <t>Critical</t>
  </si>
  <si>
    <t>High</t>
  </si>
  <si>
    <t>Medium</t>
  </si>
  <si>
    <t>Low</t>
  </si>
  <si>
    <t>Not Started</t>
  </si>
  <si>
    <t>Risks</t>
  </si>
  <si>
    <t>In Progress</t>
  </si>
  <si>
    <t>Actions</t>
  </si>
  <si>
    <t>Resolved</t>
  </si>
  <si>
    <t>Issues</t>
  </si>
  <si>
    <t>On Hold</t>
  </si>
  <si>
    <t>Decisions</t>
  </si>
  <si>
    <t>Cancelled</t>
  </si>
  <si>
    <t>⚠️  RISK LOG</t>
  </si>
  <si>
    <t>Open</t>
  </si>
  <si>
    <t>Overdue</t>
  </si>
  <si>
    <t>ASSESSMENT</t>
  </si>
  <si>
    <t>RESPONSE</t>
  </si>
  <si>
    <t>TRACKING</t>
  </si>
  <si>
    <t>CATEGORY</t>
  </si>
  <si>
    <t>RISK DESCRIPTION</t>
  </si>
  <si>
    <t>RAISED BY</t>
  </si>
  <si>
    <t>DATE IDENTIFIED</t>
  </si>
  <si>
    <t>PROBABILITY</t>
  </si>
  <si>
    <t>IMPACT</t>
  </si>
  <si>
    <t>RISK SCORE</t>
  </si>
  <si>
    <t>STRATEGY</t>
  </si>
  <si>
    <t>RISK RESPONSE</t>
  </si>
  <si>
    <t>DUE DATE</t>
  </si>
  <si>
    <t>STATUS</t>
  </si>
  <si>
    <t>NEXT REVIEW</t>
  </si>
  <si>
    <t>COMMENTS</t>
  </si>
  <si>
    <t>Schedule</t>
  </si>
  <si>
    <t>Mitigate</t>
  </si>
  <si>
    <t>External</t>
  </si>
  <si>
    <t>Resource</t>
  </si>
  <si>
    <t>Quality</t>
  </si>
  <si>
    <t>Technical</t>
  </si>
  <si>
    <t>Avoid</t>
  </si>
  <si>
    <t>Legal</t>
  </si>
  <si>
    <t>⚡  ACTION LOG</t>
  </si>
  <si>
    <t>FILTER →</t>
  </si>
  <si>
    <t>DETAIL</t>
  </si>
  <si>
    <t>ASSOC. ID</t>
  </si>
  <si>
    <t>CREATE DATE</t>
  </si>
  <si>
    <t>ACTION DESCRIPTION</t>
  </si>
  <si>
    <t>ASSIGNED TO</t>
  </si>
  <si>
    <t>% COMPLETE</t>
  </si>
  <si>
    <t>Cost</t>
  </si>
  <si>
    <t>PROJECT PARAMETERS</t>
  </si>
  <si>
    <t>PRIORITIES</t>
  </si>
  <si>
    <t>STATUS (R/A/I)</t>
  </si>
  <si>
    <t>STATUS (DEC)</t>
  </si>
  <si>
    <t>RISK STRATEGY</t>
  </si>
  <si>
    <t>RISK CATEGORY</t>
  </si>
  <si>
    <t>ROOT CAUSE</t>
  </si>
  <si>
    <t>DECISION TYPE</t>
  </si>
  <si>
    <t>Risk IDs</t>
  </si>
  <si>
    <t>Action IDs</t>
  </si>
  <si>
    <t>Issue IDs</t>
  </si>
  <si>
    <t>Decision IDs</t>
  </si>
  <si>
    <t>ABA ISSUES</t>
  </si>
  <si>
    <t>ABA DECISIONS</t>
  </si>
  <si>
    <t>ABA RISKS</t>
  </si>
  <si>
    <t>Project Name</t>
  </si>
  <si>
    <t>HORSE Procurement Implementation Program (SAP Ariba Full Suite)</t>
  </si>
  <si>
    <t>Pending</t>
  </si>
  <si>
    <t>Process</t>
  </si>
  <si>
    <t>Strategic</t>
  </si>
  <si>
    <t>Project Manager</t>
  </si>
  <si>
    <t>A definir (Project Manager Stratesys)</t>
  </si>
  <si>
    <t>Approved</t>
  </si>
  <si>
    <t>People</t>
  </si>
  <si>
    <t>Tactical</t>
  </si>
  <si>
    <t>Sponsor</t>
  </si>
  <si>
    <t>Rejected</t>
  </si>
  <si>
    <t>Transfer</t>
  </si>
  <si>
    <t>Technology</t>
  </si>
  <si>
    <t>Operational</t>
  </si>
  <si>
    <t>Start Date</t>
  </si>
  <si>
    <t>Deferred</t>
  </si>
  <si>
    <t>Accept</t>
  </si>
  <si>
    <t>End Date</t>
  </si>
  <si>
    <t>Implemented</t>
  </si>
  <si>
    <t>Escalate</t>
  </si>
  <si>
    <t>Critical Threshold %</t>
  </si>
  <si>
    <t>TEAM MEMBERS</t>
  </si>
  <si>
    <t>Name</t>
  </si>
  <si>
    <t>Role</t>
  </si>
  <si>
    <t>Email</t>
  </si>
  <si>
    <t>A definir</t>
  </si>
  <si>
    <t>a.definir@stratesys-ts.com</t>
  </si>
  <si>
    <t>Hypercare Lead Stratesys</t>
  </si>
  <si>
    <t>TOP 5 CRITICAL ITEMS (AUTO)</t>
  </si>
  <si>
    <t>Consolidated Data</t>
  </si>
  <si>
    <t>🔥  ISSUE LOG</t>
  </si>
  <si>
    <t>RESOLUTION</t>
  </si>
  <si>
    <t>ISSUE DESCRIPTION</t>
  </si>
  <si>
    <t>SEVERITY</t>
  </si>
  <si>
    <t>RESOLUTION PLAN</t>
  </si>
  <si>
    <t>📋  DECISION LOG</t>
  </si>
  <si>
    <t>Total</t>
  </si>
  <si>
    <t>DECISION DETAIL</t>
  </si>
  <si>
    <t>IMPLEMENTATION</t>
  </si>
  <si>
    <t>DECISION MADE BY</t>
  </si>
  <si>
    <t>DATE DECIDED</t>
  </si>
  <si>
    <t>DECISION</t>
  </si>
  <si>
    <t>RATIONALE</t>
  </si>
  <si>
    <t>IMPACT ASSESSMENT</t>
  </si>
  <si>
    <t>R A Index</t>
  </si>
  <si>
    <t>R ID</t>
  </si>
  <si>
    <t>R A List</t>
  </si>
  <si>
    <t>R A ID List</t>
  </si>
  <si>
    <t>R I Index</t>
  </si>
  <si>
    <t>R I List</t>
  </si>
  <si>
    <t>R I ID List</t>
  </si>
  <si>
    <t>R D Index</t>
  </si>
  <si>
    <t>R D List</t>
  </si>
  <si>
    <t>R D ID List</t>
  </si>
  <si>
    <t>A I Index</t>
  </si>
  <si>
    <t>Action ID</t>
  </si>
  <si>
    <t>A I List</t>
  </si>
  <si>
    <t>A I ID List</t>
  </si>
  <si>
    <t>A D Index</t>
  </si>
  <si>
    <t>A D List</t>
  </si>
  <si>
    <t>A D ID List</t>
  </si>
  <si>
    <t>I A Index</t>
  </si>
  <si>
    <t>Issue ID</t>
  </si>
  <si>
    <t>I A List</t>
  </si>
  <si>
    <t>I A ID List</t>
  </si>
  <si>
    <t>I D Index</t>
  </si>
  <si>
    <t>I D List</t>
  </si>
  <si>
    <t>I D ID List</t>
  </si>
  <si>
    <t>D A Index</t>
  </si>
  <si>
    <t>Decision ID</t>
  </si>
  <si>
    <t>D A List</t>
  </si>
  <si>
    <t>D A ID List</t>
  </si>
  <si>
    <t>D I Index</t>
  </si>
  <si>
    <t>D I List</t>
  </si>
  <si>
    <t>D I ID List</t>
  </si>
  <si>
    <t>Search Here</t>
  </si>
  <si>
    <t>RISK</t>
  </si>
  <si>
    <t>Risk_A</t>
  </si>
  <si>
    <t>Risk_A_ID</t>
  </si>
  <si>
    <t xml:space="preserve">Type </t>
  </si>
  <si>
    <t>RAID</t>
  </si>
  <si>
    <t>Risk_I</t>
  </si>
  <si>
    <t>Risk_I_ID</t>
  </si>
  <si>
    <t>Risk_D</t>
  </si>
  <si>
    <t>Risk_D_ID</t>
  </si>
  <si>
    <t>Issue_A</t>
  </si>
  <si>
    <t>Issue_A_ID</t>
  </si>
  <si>
    <t>Issue_D</t>
  </si>
  <si>
    <t>Issue_D_ID</t>
  </si>
  <si>
    <t>Decision_A</t>
  </si>
  <si>
    <t>Decision_A_ID</t>
  </si>
  <si>
    <t>Decision_I</t>
  </si>
  <si>
    <t>Decision_I_ID</t>
  </si>
  <si>
    <t>Action_I</t>
  </si>
  <si>
    <t>Action_I_ID</t>
  </si>
  <si>
    <t>Action_D</t>
  </si>
  <si>
    <t>Action_D_ID</t>
  </si>
  <si>
    <t>ABA Actions</t>
  </si>
  <si>
    <t>EDFP1 - 106024.1.1: Imp. Ariba Strategic Sou e Net</t>
  </si>
  <si>
    <t>Diogo Rauber</t>
  </si>
  <si>
    <t>PMO</t>
  </si>
  <si>
    <t>Rodrigo Salvatte</t>
  </si>
  <si>
    <t>Renata Pedroso</t>
  </si>
  <si>
    <t>Sourcing</t>
  </si>
  <si>
    <t>SLP</t>
  </si>
  <si>
    <t>Network</t>
  </si>
  <si>
    <t>Desenvolvedor/Integrador</t>
  </si>
  <si>
    <t>Isaías Amaral</t>
  </si>
  <si>
    <t>Daniele Moraes</t>
  </si>
  <si>
    <t>Lucas Santos</t>
  </si>
  <si>
    <t>Prazo sem buffer</t>
  </si>
  <si>
    <t>UAT do S/4HANA não concluído antes do início Ariba</t>
  </si>
  <si>
    <t>Ambientes / acessos não liberados em 11/05</t>
  </si>
  <si>
    <t>Key users indisponíveis nas semanas Explore</t>
  </si>
  <si>
    <t>Tempo de resposta acima de 2 dias úteis</t>
  </si>
  <si>
    <t>Stratesys</t>
  </si>
  <si>
    <t>Daily + Status semanal + Change Request formal</t>
  </si>
  <si>
    <t>GP Stratesys + Sponsor EDF</t>
  </si>
  <si>
    <t>Decisão conjunta até 15/05 + plano B definido juntos</t>
  </si>
  <si>
    <t>Sponsor EDF + GP S/4 + GP Ariba</t>
  </si>
  <si>
    <t>Checkpoint diário com TI EDF na semana 01</t>
  </si>
  <si>
    <t>TI EDF + GP Stratesys</t>
  </si>
  <si>
    <t>Confirmação até 13/05 + alocação 90% dedicada</t>
  </si>
  <si>
    <t>Gestores de Negócio EDF</t>
  </si>
  <si>
    <t>Escalação automática ao Steering Committee</t>
  </si>
  <si>
    <t>GP Stratesys + Sponsors</t>
  </si>
  <si>
    <t>Atrasos em entregas intermediárias, acúmulo de pendências, replanejamentos frequentes</t>
  </si>
  <si>
    <t>Atrasos no UAT S/4, defeitos críticos abertos, ausência de aprovação do negócio</t>
  </si>
  <si>
    <t>Usuários sem acesso, ambiente indisponível, chamados sem retorno</t>
  </si>
  <si>
    <t>Ausência em workshops, adiamento de reuniões, baixa participação nas validações</t>
  </si>
  <si>
    <t>Pendências sem retorno, decisões bloqueadas, aumento de itens em aberto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</si>
</sst>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]_-;\-* #,##0.00\ [$€]_-;_-* &quot;-&quot;??\ [$€]_-;_-@_-"/>
  </numFmts>
  <fonts count="49" x14ac:knownFonts="1">
    <font>
      <sz val="10"/>
      <name val="Arial"/>
    </font>
    <font>
      <sz val="10"/>
      <name val="Arial"/>
      <family val="2"/>
    </font>
    <font>
      <b/>
      <sz val="9"/>
      <color rgb="FFFFFFFF"/>
      <name val="Aptos"/>
      <family val="2"/>
    </font>
    <font>
      <b/>
      <sz val="10"/>
      <color rgb="FF2D6CDF"/>
      <name val="Aptos"/>
      <family val="2"/>
    </font>
    <font>
      <sz val="10"/>
      <color rgb="FF1A202C"/>
      <name val="Aptos"/>
      <family val="2"/>
    </font>
    <font>
      <b/>
      <sz val="10"/>
      <color rgb="FF1A202C"/>
      <name val="Aptos"/>
      <family val="2"/>
    </font>
    <font>
      <sz val="10"/>
      <color rgb="FF718096"/>
      <name val="Aptos"/>
      <family val="2"/>
    </font>
    <font>
      <b/>
      <sz val="10"/>
      <color rgb="FFC0392B"/>
      <name val="Aptos"/>
      <family val="2"/>
    </font>
    <font>
      <b/>
      <sz val="13"/>
      <color rgb="FF0D1B2A"/>
      <name val="Aptos"/>
      <family val="2"/>
    </font>
    <font>
      <sz val="8"/>
      <color rgb="FF718096"/>
      <name val="Aptos"/>
      <family val="2"/>
    </font>
    <font>
      <b/>
      <sz val="11"/>
      <color rgb="FFC0392B"/>
      <name val="Aptos"/>
      <family val="2"/>
    </font>
    <font>
      <b/>
      <sz val="11"/>
      <color rgb="FF2D6CDF"/>
      <name val="Aptos"/>
      <family val="2"/>
    </font>
    <font>
      <b/>
      <sz val="11"/>
      <color rgb="FFE67E22"/>
      <name val="Aptos"/>
      <family val="2"/>
    </font>
    <font>
      <b/>
      <sz val="9"/>
      <color rgb="FFC0392B"/>
      <name val="Aptos"/>
      <family val="2"/>
    </font>
    <font>
      <b/>
      <sz val="9"/>
      <color rgb="FF1E8449"/>
      <name val="Aptos"/>
      <family val="2"/>
    </font>
    <font>
      <b/>
      <sz val="22"/>
      <color rgb="FFFFFFFF"/>
      <name val="Aptos"/>
      <family val="2"/>
    </font>
    <font>
      <b/>
      <sz val="11"/>
      <color rgb="FFFFFFFF"/>
      <name val="Aptos"/>
      <family val="2"/>
    </font>
    <font>
      <b/>
      <sz val="10"/>
      <color rgb="FFFFFFFF"/>
      <name val="Aptos"/>
      <family val="2"/>
    </font>
    <font>
      <b/>
      <sz val="9"/>
      <color rgb="FF1A202C"/>
      <name val="Aptos"/>
      <family val="2"/>
    </font>
    <font>
      <b/>
      <i/>
      <sz val="8"/>
      <color rgb="FF2D6CDF"/>
      <name val="Aptos"/>
      <family val="2"/>
    </font>
    <font>
      <b/>
      <sz val="16"/>
      <color rgb="FF00C9DB"/>
      <name val="Aptos"/>
      <family val="2"/>
    </font>
    <font>
      <b/>
      <sz val="9"/>
      <color rgb="FFE67E22"/>
      <name val="Aptos"/>
      <family val="2"/>
    </font>
    <font>
      <b/>
      <sz val="9"/>
      <color rgb="FFB7950B"/>
      <name val="Aptos"/>
      <family val="2"/>
    </font>
    <font>
      <b/>
      <sz val="9"/>
      <color rgb="FF2874A6"/>
      <name val="Aptos"/>
      <family val="2"/>
    </font>
    <font>
      <b/>
      <sz val="9"/>
      <color rgb="FF7F8C8D"/>
      <name val="Aptos"/>
      <family val="2"/>
    </font>
    <font>
      <b/>
      <sz val="9"/>
      <color rgb="FFCA6F1E"/>
      <name val="Aptos"/>
      <family val="2"/>
    </font>
    <font>
      <b/>
      <sz val="11"/>
      <color rgb="FFB7950B"/>
      <name val="Aptos"/>
      <family val="2"/>
    </font>
    <font>
      <b/>
      <sz val="11"/>
      <color rgb="FF1E8449"/>
      <name val="Aptos"/>
      <family val="2"/>
    </font>
    <font>
      <b/>
      <sz val="9"/>
      <color rgb="FF6C5CE7"/>
      <name val="Aptos"/>
      <family val="2"/>
    </font>
    <font>
      <b/>
      <sz val="9"/>
      <color rgb="FF718096"/>
      <name val="Aptos"/>
      <family val="2"/>
    </font>
    <font>
      <b/>
      <sz val="28"/>
      <color rgb="FF0D1B2A"/>
      <name val="Aptos"/>
      <family val="2"/>
    </font>
    <font>
      <sz val="9"/>
      <color rgb="FF718096"/>
      <name val="Aptos"/>
      <family val="2"/>
    </font>
    <font>
      <b/>
      <sz val="8"/>
      <color rgb="FFC0392B"/>
      <name val="Aptos"/>
      <family val="2"/>
    </font>
    <font>
      <b/>
      <sz val="18"/>
      <color rgb="FFC0392B"/>
      <name val="Aptos"/>
      <family val="2"/>
    </font>
    <font>
      <b/>
      <sz val="8"/>
      <color rgb="FFE67E22"/>
      <name val="Aptos"/>
      <family val="2"/>
    </font>
    <font>
      <b/>
      <sz val="18"/>
      <color rgb="FFE67E22"/>
      <name val="Aptos"/>
      <family val="2"/>
    </font>
    <font>
      <b/>
      <sz val="8"/>
      <color rgb="FFB7950B"/>
      <name val="Aptos"/>
      <family val="2"/>
    </font>
    <font>
      <b/>
      <sz val="18"/>
      <color rgb="FFB7950B"/>
      <name val="Aptos"/>
      <family val="2"/>
    </font>
    <font>
      <b/>
      <sz val="8"/>
      <color rgb="FF1E8449"/>
      <name val="Aptos"/>
      <family val="2"/>
    </font>
    <font>
      <b/>
      <sz val="18"/>
      <color rgb="FF1E8449"/>
      <name val="Aptos"/>
      <family val="2"/>
    </font>
    <font>
      <b/>
      <sz val="8"/>
      <color rgb="FF718096"/>
      <name val="Aptos"/>
      <family val="2"/>
    </font>
    <font>
      <b/>
      <sz val="14"/>
      <color rgb="FF1A202C"/>
      <name val="Aptos"/>
      <family val="2"/>
    </font>
    <font>
      <b/>
      <sz val="14"/>
      <color rgb="FFFFFFFF"/>
      <name val="Aptos"/>
      <family val="2"/>
    </font>
    <font>
      <sz val="10"/>
      <color theme="0"/>
      <name val="Aptos"/>
      <family val="2"/>
    </font>
    <font>
      <b/>
      <sz val="10"/>
      <color rgb="FFFFFFFF"/>
      <name val="Aptos"/>
      <family val="2"/>
    </font>
    <font>
      <b/>
      <sz val="8"/>
      <color rgb="FFA0AEC0"/>
      <name val="Aptos"/>
      <family val="2"/>
    </font>
    <font>
      <b/>
      <sz val="10"/>
      <color rgb="FF2D6CDF"/>
      <name val="Aptos"/>
      <family val="2"/>
    </font>
    <font>
      <b/>
      <i/>
      <sz val="8"/>
      <color rgb="FF718096"/>
      <name val="Aptos"/>
      <family val="2"/>
    </font>
    <font>
      <b/>
      <sz val="9"/>
      <color rgb="FFFFFFFF"/>
      <name val="Aptos"/>
      <family val="2"/>
    </font>
  </fonts>
  <fills count="2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D1B2A"/>
        <bgColor indexed="64"/>
      </patternFill>
    </fill>
    <fill>
      <patternFill patternType="solid">
        <fgColor rgb="FF2D3436"/>
        <bgColor indexed="64"/>
      </patternFill>
    </fill>
    <fill>
      <patternFill patternType="solid">
        <fgColor rgb="FFF7F9FB"/>
        <bgColor indexed="64"/>
      </patternFill>
    </fill>
    <fill>
      <patternFill patternType="solid">
        <fgColor rgb="FFEDF2F7"/>
        <bgColor indexed="64"/>
      </patternFill>
    </fill>
    <fill>
      <patternFill patternType="solid">
        <fgColor rgb="FFFDEDEC"/>
        <bgColor indexed="64"/>
      </patternFill>
    </fill>
    <fill>
      <patternFill patternType="solid">
        <fgColor rgb="FFFDF2E9"/>
        <bgColor indexed="64"/>
      </patternFill>
    </fill>
    <fill>
      <patternFill patternType="solid">
        <fgColor rgb="FFFEF9E7"/>
        <bgColor indexed="64"/>
      </patternFill>
    </fill>
    <fill>
      <patternFill patternType="solid">
        <fgColor rgb="FFE9F7EF"/>
        <bgColor indexed="64"/>
      </patternFill>
    </fill>
    <fill>
      <patternFill patternType="solid">
        <fgColor rgb="FFF2F3F4"/>
        <bgColor indexed="64"/>
      </patternFill>
    </fill>
    <fill>
      <patternFill patternType="solid">
        <fgColor rgb="FFEBF5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ECF7"/>
        <bgColor indexed="64"/>
      </patternFill>
    </fill>
    <fill>
      <patternFill patternType="solid">
        <fgColor rgb="FFF7DC6F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82E0AA"/>
        <bgColor indexed="64"/>
      </patternFill>
    </fill>
    <fill>
      <patternFill patternType="solid">
        <fgColor rgb="FF0070C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E2E8F0"/>
      </bottom>
      <diagonal/>
    </border>
    <border>
      <left/>
      <right/>
      <top style="thick">
        <color rgb="FFC0392B"/>
      </top>
      <bottom/>
      <diagonal/>
    </border>
    <border>
      <left/>
      <right/>
      <top style="thick">
        <color rgb="FF2D6CDF"/>
      </top>
      <bottom/>
      <diagonal/>
    </border>
    <border>
      <left/>
      <right/>
      <top style="thick">
        <color rgb="FFE67E22"/>
      </top>
      <bottom/>
      <diagonal/>
    </border>
    <border>
      <left/>
      <right/>
      <top style="thick">
        <color rgb="FF6C5CE7"/>
      </top>
      <bottom/>
      <diagonal/>
    </border>
  </borders>
  <cellStyleXfs count="2">
    <xf numFmtId="0" fontId="0" fillId="0" borderId="0"/>
    <xf numFmtId="164" fontId="1" fillId="0" borderId="0"/>
  </cellStyleXfs>
  <cellXfs count="116">
    <xf numFmtId="0" fontId="0" fillId="0" borderId="0" xfId="0"/>
    <xf numFmtId="0" fontId="1" fillId="0" borderId="0" xfId="0" applyFont="1"/>
    <xf numFmtId="0" fontId="0" fillId="3" borderId="0" xfId="0" applyFill="1"/>
    <xf numFmtId="0" fontId="0" fillId="5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6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0" xfId="0" applyFont="1" applyFill="1" applyAlignment="1">
      <alignment horizontal="center"/>
    </xf>
    <xf numFmtId="0" fontId="8" fillId="14" borderId="0" xfId="0" applyFont="1" applyFill="1"/>
    <xf numFmtId="0" fontId="4" fillId="0" borderId="0" xfId="0" applyFont="1"/>
    <xf numFmtId="0" fontId="4" fillId="11" borderId="0" xfId="0" applyFont="1" applyFill="1"/>
    <xf numFmtId="0" fontId="15" fillId="11" borderId="0" xfId="0" applyFont="1" applyFill="1"/>
    <xf numFmtId="0" fontId="4" fillId="14" borderId="0" xfId="0" applyFont="1" applyFill="1"/>
    <xf numFmtId="0" fontId="5" fillId="0" borderId="0" xfId="0" applyFont="1"/>
    <xf numFmtId="0" fontId="16" fillId="11" borderId="0" xfId="0" applyFont="1" applyFill="1"/>
    <xf numFmtId="14" fontId="4" fillId="0" borderId="0" xfId="0" applyNumberFormat="1" applyFont="1"/>
    <xf numFmtId="0" fontId="17" fillId="11" borderId="0" xfId="0" applyFont="1" applyFill="1"/>
    <xf numFmtId="0" fontId="5" fillId="14" borderId="0" xfId="0" applyFont="1" applyFill="1"/>
    <xf numFmtId="0" fontId="0" fillId="14" borderId="0" xfId="0" applyFill="1"/>
    <xf numFmtId="0" fontId="2" fillId="12" borderId="0" xfId="0" applyFont="1" applyFill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19" fillId="0" borderId="0" xfId="0" applyFont="1"/>
    <xf numFmtId="0" fontId="6" fillId="11" borderId="0" xfId="0" applyFont="1" applyFill="1"/>
    <xf numFmtId="0" fontId="9" fillId="11" borderId="0" xfId="0" applyFont="1" applyFill="1"/>
    <xf numFmtId="0" fontId="9" fillId="11" borderId="0" xfId="0" applyFont="1" applyFill="1" applyAlignment="1">
      <alignment horizontal="right"/>
    </xf>
    <xf numFmtId="0" fontId="20" fillId="11" borderId="0" xfId="0" applyFont="1" applyFill="1"/>
    <xf numFmtId="0" fontId="20" fillId="11" borderId="0" xfId="0" applyFont="1" applyFill="1" applyAlignment="1">
      <alignment horizontal="left"/>
    </xf>
    <xf numFmtId="0" fontId="4" fillId="0" borderId="0" xfId="0" applyFont="1" applyAlignment="1">
      <alignment vertical="center"/>
    </xf>
    <xf numFmtId="0" fontId="4" fillId="14" borderId="0" xfId="0" applyFont="1" applyFill="1" applyAlignment="1">
      <alignment vertical="center"/>
    </xf>
    <xf numFmtId="0" fontId="4" fillId="13" borderId="0" xfId="0" applyFont="1" applyFill="1" applyAlignment="1">
      <alignment vertical="center"/>
    </xf>
    <xf numFmtId="0" fontId="9" fillId="0" borderId="0" xfId="0" applyFont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9" fontId="4" fillId="13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13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3" fillId="15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21" fillId="16" borderId="0" xfId="0" applyFont="1" applyFill="1" applyAlignment="1">
      <alignment horizontal="center" vertical="center"/>
    </xf>
    <xf numFmtId="0" fontId="22" fillId="17" borderId="0" xfId="0" applyFont="1" applyFill="1" applyAlignment="1">
      <alignment horizontal="center" vertical="center"/>
    </xf>
    <xf numFmtId="0" fontId="14" fillId="18" borderId="0" xfId="0" applyFont="1" applyFill="1" applyAlignment="1">
      <alignment horizontal="center" vertical="center"/>
    </xf>
    <xf numFmtId="0" fontId="23" fillId="20" borderId="0" xfId="0" applyFont="1" applyFill="1" applyAlignment="1">
      <alignment horizontal="center" vertical="center"/>
    </xf>
    <xf numFmtId="0" fontId="24" fillId="19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7" fillId="13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26" fillId="17" borderId="0" xfId="0" applyFont="1" applyFill="1" applyAlignment="1">
      <alignment horizontal="center" vertical="center"/>
    </xf>
    <xf numFmtId="0" fontId="27" fillId="18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4" fillId="21" borderId="0" xfId="0" applyFont="1" applyFill="1"/>
    <xf numFmtId="0" fontId="4" fillId="21" borderId="3" xfId="0" applyFont="1" applyFill="1" applyBorder="1"/>
    <xf numFmtId="0" fontId="4" fillId="21" borderId="4" xfId="0" applyFont="1" applyFill="1" applyBorder="1"/>
    <xf numFmtId="0" fontId="4" fillId="21" borderId="5" xfId="0" applyFont="1" applyFill="1" applyBorder="1"/>
    <xf numFmtId="0" fontId="4" fillId="21" borderId="6" xfId="0" applyFont="1" applyFill="1" applyBorder="1"/>
    <xf numFmtId="0" fontId="29" fillId="21" borderId="3" xfId="0" applyFont="1" applyFill="1" applyBorder="1" applyAlignment="1">
      <alignment horizontal="center"/>
    </xf>
    <xf numFmtId="0" fontId="29" fillId="21" borderId="4" xfId="0" applyFont="1" applyFill="1" applyBorder="1" applyAlignment="1">
      <alignment horizontal="center"/>
    </xf>
    <xf numFmtId="0" fontId="29" fillId="21" borderId="5" xfId="0" applyFont="1" applyFill="1" applyBorder="1" applyAlignment="1">
      <alignment horizontal="center"/>
    </xf>
    <xf numFmtId="0" fontId="29" fillId="21" borderId="6" xfId="0" applyFont="1" applyFill="1" applyBorder="1" applyAlignment="1">
      <alignment horizontal="center"/>
    </xf>
    <xf numFmtId="0" fontId="30" fillId="21" borderId="0" xfId="0" applyFont="1" applyFill="1" applyAlignment="1">
      <alignment horizontal="center"/>
    </xf>
    <xf numFmtId="0" fontId="31" fillId="21" borderId="0" xfId="0" applyFont="1" applyFill="1" applyAlignment="1">
      <alignment horizontal="center"/>
    </xf>
    <xf numFmtId="0" fontId="4" fillId="15" borderId="0" xfId="0" applyFont="1" applyFill="1"/>
    <xf numFmtId="0" fontId="32" fillId="15" borderId="0" xfId="0" applyFont="1" applyFill="1" applyAlignment="1">
      <alignment horizontal="center"/>
    </xf>
    <xf numFmtId="0" fontId="33" fillId="15" borderId="0" xfId="0" applyFont="1" applyFill="1" applyAlignment="1">
      <alignment horizontal="center"/>
    </xf>
    <xf numFmtId="0" fontId="4" fillId="16" borderId="0" xfId="0" applyFont="1" applyFill="1"/>
    <xf numFmtId="0" fontId="34" fillId="16" borderId="0" xfId="0" applyFont="1" applyFill="1" applyAlignment="1">
      <alignment horizontal="center"/>
    </xf>
    <xf numFmtId="0" fontId="35" fillId="16" borderId="0" xfId="0" applyFont="1" applyFill="1" applyAlignment="1">
      <alignment horizontal="center"/>
    </xf>
    <xf numFmtId="0" fontId="4" fillId="17" borderId="0" xfId="0" applyFont="1" applyFill="1"/>
    <xf numFmtId="0" fontId="36" fillId="17" borderId="0" xfId="0" applyFont="1" applyFill="1" applyAlignment="1">
      <alignment horizontal="center"/>
    </xf>
    <xf numFmtId="0" fontId="37" fillId="17" borderId="0" xfId="0" applyFont="1" applyFill="1" applyAlignment="1">
      <alignment horizontal="center"/>
    </xf>
    <xf numFmtId="0" fontId="4" fillId="18" borderId="0" xfId="0" applyFont="1" applyFill="1"/>
    <xf numFmtId="0" fontId="38" fillId="18" borderId="0" xfId="0" applyFont="1" applyFill="1" applyAlignment="1">
      <alignment horizontal="center"/>
    </xf>
    <xf numFmtId="0" fontId="39" fillId="18" borderId="0" xfId="0" applyFont="1" applyFill="1" applyAlignment="1">
      <alignment horizontal="center"/>
    </xf>
    <xf numFmtId="0" fontId="40" fillId="0" borderId="0" xfId="0" applyFont="1"/>
    <xf numFmtId="9" fontId="18" fillId="0" borderId="0" xfId="0" applyNumberFormat="1" applyFont="1" applyAlignment="1">
      <alignment horizontal="center"/>
    </xf>
    <xf numFmtId="0" fontId="41" fillId="23" borderId="0" xfId="0" applyFont="1" applyFill="1" applyAlignment="1">
      <alignment horizontal="center" vertical="center"/>
    </xf>
    <xf numFmtId="0" fontId="42" fillId="24" borderId="0" xfId="0" applyFont="1" applyFill="1" applyAlignment="1">
      <alignment horizontal="center" vertical="center"/>
    </xf>
    <xf numFmtId="0" fontId="42" fillId="25" borderId="0" xfId="0" applyFont="1" applyFill="1" applyAlignment="1">
      <alignment horizontal="center" vertical="center"/>
    </xf>
    <xf numFmtId="0" fontId="41" fillId="26" borderId="0" xfId="0" applyFont="1" applyFill="1" applyAlignment="1">
      <alignment horizontal="center" vertical="center"/>
    </xf>
    <xf numFmtId="0" fontId="13" fillId="15" borderId="0" xfId="0" applyFont="1" applyFill="1" applyAlignment="1">
      <alignment vertical="center"/>
    </xf>
    <xf numFmtId="0" fontId="21" fillId="16" borderId="0" xfId="0" applyFont="1" applyFill="1" applyAlignment="1">
      <alignment vertical="center"/>
    </xf>
    <xf numFmtId="0" fontId="8" fillId="14" borderId="0" xfId="0" applyFont="1" applyFill="1" applyAlignment="1">
      <alignment wrapText="1"/>
    </xf>
    <xf numFmtId="0" fontId="4" fillId="14" borderId="0" xfId="0" applyFont="1" applyFill="1" applyAlignment="1">
      <alignment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1" fillId="13" borderId="0" xfId="0" applyFont="1" applyFill="1" applyAlignment="1">
      <alignment wrapText="1"/>
    </xf>
    <xf numFmtId="0" fontId="4" fillId="13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5" fillId="13" borderId="0" xfId="0" applyFont="1" applyFill="1" applyAlignment="1">
      <alignment wrapText="1"/>
    </xf>
    <xf numFmtId="0" fontId="3" fillId="0" borderId="0" xfId="0" applyFont="1" applyAlignment="1">
      <alignment wrapText="1"/>
    </xf>
    <xf numFmtId="0" fontId="3" fillId="13" borderId="0" xfId="0" applyFont="1" applyFill="1" applyAlignment="1">
      <alignment wrapText="1"/>
    </xf>
    <xf numFmtId="0" fontId="0" fillId="0" borderId="0" xfId="0" applyAlignment="1">
      <alignment horizontal="center" vertical="center"/>
    </xf>
    <xf numFmtId="0" fontId="43" fillId="11" borderId="0" xfId="0" applyFont="1" applyFill="1" applyAlignment="1">
      <alignment horizontal="right"/>
    </xf>
    <xf numFmtId="0" fontId="44" fillId="11" borderId="0" xfId="0" applyFont="1" applyFill="1"/>
    <xf numFmtId="0" fontId="45" fillId="0" borderId="0" xfId="0" applyFont="1"/>
    <xf numFmtId="0" fontId="46" fillId="20" borderId="0" xfId="0" applyFont="1" applyFill="1"/>
    <xf numFmtId="0" fontId="47" fillId="0" borderId="0" xfId="0" applyFont="1" applyAlignment="1">
      <alignment horizontal="right"/>
    </xf>
    <xf numFmtId="0" fontId="44" fillId="12" borderId="0" xfId="0" applyFont="1" applyFill="1" applyAlignment="1">
      <alignment horizontal="center" vertical="center"/>
    </xf>
    <xf numFmtId="0" fontId="48" fillId="12" borderId="0" xfId="0" applyFont="1" applyFill="1"/>
    <xf numFmtId="0" fontId="4" fillId="11" borderId="0" xfId="0" applyFont="1" applyFill="1" applyAlignment="1">
      <alignment horizontal="center"/>
    </xf>
    <xf numFmtId="0" fontId="9" fillId="11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7" fillId="27" borderId="0" xfId="0" applyFont="1" applyFill="1"/>
  </cellXfs>
  <cellStyles count="2">
    <cellStyle name="Euro" xfId="1" xr:uid="{00000000-0005-0000-0000-000001000000}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44697D"/>
      <rgbColor rgb="00FFFFFF"/>
      <rgbColor rgb="00B4C3CB"/>
      <rgbColor rgb="00DFDFDF"/>
      <rgbColor rgb="00A79A6C"/>
      <rgbColor rgb="00DFDFDF"/>
      <rgbColor rgb="00DFDFDF"/>
      <rgbColor rgb="00DFDFDF"/>
      <rgbColor rgb="007D96A4"/>
      <rgbColor rgb="0088A06F"/>
      <rgbColor rgb="00816E2C"/>
      <rgbColor rgb="00A18176"/>
      <rgbColor rgb="00C1B4BD"/>
      <rgbColor rgb="007FA6A7"/>
      <rgbColor rgb="00DFDFDF"/>
      <rgbColor rgb="00999999"/>
      <rgbColor rgb="0044697D"/>
      <rgbColor rgb="007D96A4"/>
      <rgbColor rgb="00B4C3CB"/>
      <rgbColor rgb="00F0AB00"/>
      <rgbColor rgb="00F5C44D"/>
      <rgbColor rgb="00F3DD99"/>
      <rgbColor rgb="00774A39"/>
      <rgbColor rgb="00557630"/>
      <rgbColor rgb="0044697D"/>
      <rgbColor rgb="007D96A4"/>
      <rgbColor rgb="00B4C3CB"/>
      <rgbColor rgb="00F0AB00"/>
      <rgbColor rgb="00F5C44D"/>
      <rgbColor rgb="00F3DD99"/>
      <rgbColor rgb="00774A39"/>
      <rgbColor rgb="00557630"/>
      <rgbColor rgb="00DFDFDF"/>
      <rgbColor rgb="00DDDDDD"/>
      <rgbColor rgb="00CCCCCC"/>
      <rgbColor rgb="00999999"/>
      <rgbColor rgb="0004357B"/>
      <rgbColor rgb="00000000"/>
      <rgbColor rgb="009E3039"/>
      <rgbColor rgb="00666666"/>
      <rgbColor rgb="00CDC5AB"/>
      <rgbColor rgb="00B5CCCC"/>
      <rgbColor rgb="00C9B7B0"/>
      <rgbColor rgb="00DFDFDF"/>
      <rgbColor rgb="00F3DD99"/>
      <rgbColor rgb="00F5C44D"/>
      <rgbColor rgb="00937D8B"/>
      <rgbColor rgb="00CCCCCC"/>
      <rgbColor rgb="00156570"/>
      <rgbColor rgb="00BBC8AC"/>
      <rgbColor rgb="00557630"/>
      <rgbColor rgb="00774A39"/>
      <rgbColor rgb="00F0AB00"/>
      <rgbColor rgb="00DFDFDF"/>
      <rgbColor rgb="00644459"/>
      <rgbColor rgb="0000000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strike="noStrike" kern="1200" spc="0" baseline="0">
                <a:solidFill>
                  <a:srgbClr val="0D1B2A"/>
                </a:solidFill>
                <a:latin typeface="Aptos"/>
                <a:ea typeface="Aptos"/>
                <a:cs typeface="Aptos"/>
              </a:defRPr>
            </a:pPr>
            <a:r>
              <a:rPr lang="en-US"/>
              <a:t>Status Distribution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Dashboard!$C$34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E8D-498F-B2FD-9415B43C8F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E8D-498F-B2FD-9415B43C8F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E8D-498F-B2FD-9415B43C8FB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0E8D-498F-B2FD-9415B43C8FB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0E8D-498F-B2FD-9415B43C8FB8}"/>
              </c:ext>
            </c:extLst>
          </c:dPt>
          <c:cat>
            <c:strRef>
              <c:f>Dashboard!$B$35:$B$39</c:f>
              <c:strCache>
                <c:ptCount val="5"/>
                <c:pt idx="0">
                  <c:v>Not Started</c:v>
                </c:pt>
                <c:pt idx="1">
                  <c:v>In Progress</c:v>
                </c:pt>
                <c:pt idx="2">
                  <c:v>Resolved</c:v>
                </c:pt>
                <c:pt idx="3">
                  <c:v>On Hold</c:v>
                </c:pt>
                <c:pt idx="4">
                  <c:v>Cancelled</c:v>
                </c:pt>
              </c:strCache>
            </c:strRef>
          </c:cat>
          <c:val>
            <c:numRef>
              <c:f>Dashboard!$C$35:$C$39</c:f>
              <c:numCache>
                <c:formatCode>General</c:formatCode>
                <c:ptCount val="5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8D-498F-B2FD-9415B43C8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25400" cap="flat" cmpd="sng" algn="ctr">
      <a:noFill/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strike="noStrike" kern="1200" spc="0" baseline="0">
                <a:solidFill>
                  <a:srgbClr val="0D1B2A"/>
                </a:solidFill>
                <a:latin typeface="Aptos"/>
                <a:ea typeface="Aptos"/>
                <a:cs typeface="Aptos"/>
              </a:defRPr>
            </a:pPr>
            <a:r>
              <a:rPr lang="en-US"/>
              <a:t>Priority by Type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Dashboard!$F$34</c:f>
              <c:strCache>
                <c:ptCount val="1"/>
                <c:pt idx="0">
                  <c:v>Critical</c:v>
                </c:pt>
              </c:strCache>
            </c:strRef>
          </c:tx>
          <c:spPr>
            <a:solidFill>
              <a:srgbClr val="C0392B"/>
            </a:solidFill>
            <a:ln>
              <a:noFill/>
              <a:prstDash val="solid"/>
            </a:ln>
          </c:spPr>
          <c:invertIfNegative val="0"/>
          <c:cat>
            <c:strRef>
              <c:f>Dashboard!$E$35:$E$38</c:f>
              <c:strCache>
                <c:ptCount val="4"/>
                <c:pt idx="0">
                  <c:v>Risks</c:v>
                </c:pt>
                <c:pt idx="1">
                  <c:v>Actions</c:v>
                </c:pt>
                <c:pt idx="2">
                  <c:v>Issues</c:v>
                </c:pt>
                <c:pt idx="3">
                  <c:v>Decisions</c:v>
                </c:pt>
              </c:strCache>
            </c:strRef>
          </c:cat>
          <c:val>
            <c:numRef>
              <c:f>Dashboard!$F$35:$F$38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6-49DE-9425-45DB6AFA2061}"/>
            </c:ext>
          </c:extLst>
        </c:ser>
        <c:ser>
          <c:idx val="1"/>
          <c:order val="1"/>
          <c:tx>
            <c:strRef>
              <c:f>Dashboard!$G$34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rgbClr val="E67E22"/>
            </a:solidFill>
            <a:ln>
              <a:noFill/>
              <a:prstDash val="solid"/>
            </a:ln>
          </c:spPr>
          <c:invertIfNegative val="0"/>
          <c:cat>
            <c:strRef>
              <c:f>Dashboard!$E$35:$E$38</c:f>
              <c:strCache>
                <c:ptCount val="4"/>
                <c:pt idx="0">
                  <c:v>Risks</c:v>
                </c:pt>
                <c:pt idx="1">
                  <c:v>Actions</c:v>
                </c:pt>
                <c:pt idx="2">
                  <c:v>Issues</c:v>
                </c:pt>
                <c:pt idx="3">
                  <c:v>Decisions</c:v>
                </c:pt>
              </c:strCache>
            </c:strRef>
          </c:cat>
          <c:val>
            <c:numRef>
              <c:f>Dashboard!$G$35:$G$38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6-49DE-9425-45DB6AFA2061}"/>
            </c:ext>
          </c:extLst>
        </c:ser>
        <c:ser>
          <c:idx val="2"/>
          <c:order val="2"/>
          <c:tx>
            <c:strRef>
              <c:f>Dashboard!$H$34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F1C40F"/>
            </a:solidFill>
            <a:ln>
              <a:noFill/>
              <a:prstDash val="solid"/>
            </a:ln>
          </c:spPr>
          <c:invertIfNegative val="0"/>
          <c:cat>
            <c:strRef>
              <c:f>Dashboard!$E$35:$E$38</c:f>
              <c:strCache>
                <c:ptCount val="4"/>
                <c:pt idx="0">
                  <c:v>Risks</c:v>
                </c:pt>
                <c:pt idx="1">
                  <c:v>Actions</c:v>
                </c:pt>
                <c:pt idx="2">
                  <c:v>Issues</c:v>
                </c:pt>
                <c:pt idx="3">
                  <c:v>Decisions</c:v>
                </c:pt>
              </c:strCache>
            </c:strRef>
          </c:cat>
          <c:val>
            <c:numRef>
              <c:f>Dashboard!$H$35:$H$38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06-49DE-9425-45DB6AFA2061}"/>
            </c:ext>
          </c:extLst>
        </c:ser>
        <c:ser>
          <c:idx val="3"/>
          <c:order val="3"/>
          <c:tx>
            <c:strRef>
              <c:f>Dashboard!$I$34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rgbClr val="27AE60"/>
            </a:solidFill>
            <a:ln>
              <a:noFill/>
              <a:prstDash val="solid"/>
            </a:ln>
          </c:spPr>
          <c:invertIfNegative val="0"/>
          <c:cat>
            <c:strRef>
              <c:f>Dashboard!$E$35:$E$38</c:f>
              <c:strCache>
                <c:ptCount val="4"/>
                <c:pt idx="0">
                  <c:v>Risks</c:v>
                </c:pt>
                <c:pt idx="1">
                  <c:v>Actions</c:v>
                </c:pt>
                <c:pt idx="2">
                  <c:v>Issues</c:v>
                </c:pt>
                <c:pt idx="3">
                  <c:v>Decisions</c:v>
                </c:pt>
              </c:strCache>
            </c:strRef>
          </c:cat>
          <c:val>
            <c:numRef>
              <c:f>Dashboard!$I$35:$I$38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06-49DE-9425-45DB6AFA2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1639391"/>
        <c:axId val="1621637951"/>
      </c:barChart>
      <c:catAx>
        <c:axId val="1621639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637951"/>
        <c:crosses val="autoZero"/>
        <c:auto val="1"/>
        <c:lblAlgn val="ctr"/>
        <c:lblOffset val="100"/>
        <c:noMultiLvlLbl val="0"/>
      </c:catAx>
      <c:valAx>
        <c:axId val="162163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639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25400" cap="flat" cmpd="sng" algn="ctr">
      <a:noFill/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120650</xdr:colOff>
      <xdr:row>13</xdr:row>
      <xdr:rowOff>9525</xdr:rowOff>
    </xdr:from>
    <xdr:to>
      <xdr:col>13</xdr:col>
      <xdr:colOff>873125</xdr:colOff>
      <xdr:row>17</xdr:row>
      <xdr:rowOff>301625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942068</xdr:colOff>
      <xdr:row>13</xdr:row>
      <xdr:rowOff>25400</xdr:rowOff>
    </xdr:from>
    <xdr:to>
      <xdr:col>16</xdr:col>
      <xdr:colOff>27214</xdr:colOff>
      <xdr:row>19</xdr:row>
      <xdr:rowOff>388257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8F9BA9-2B08-470C-9717-74301541A1D3}">
  <we:reference id="WA200009404" version="1.0.0.8" store="Omex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C9DB"/>
  </sheetPr>
  <dimension ref="A1:AZ200"/>
  <sheetViews>
    <sheetView showGridLines="0" workbookViewId="0">
      <selection activeCell="B2" sqref="B2"/>
    </sheetView>
  </sheetViews>
  <sheetFormatPr defaultRowHeight="13.2" x14ac:dyDescent="0.25"/>
  <cols>
    <col min="1" max="1" width="1.44140625" customWidth="1"/>
    <col min="2" max="2" width="109.109375" customWidth="1"/>
    <col min="3" max="3" width="36.33203125" customWidth="1"/>
  </cols>
  <sheetData>
    <row r="1" spans="1:52" ht="13.05" customHeight="1" x14ac:dyDescent="0.3">
      <c r="A1" s="14"/>
      <c r="B1" s="14"/>
      <c r="C1" s="14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</row>
    <row r="2" spans="1:52" ht="28.5" customHeight="1" x14ac:dyDescent="0.55000000000000004">
      <c r="A2" s="14"/>
      <c r="B2" s="15" t="s">
        <v>0</v>
      </c>
      <c r="C2" s="14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</row>
    <row r="3" spans="1:52" ht="13.05" customHeight="1" x14ac:dyDescent="0.3">
      <c r="A3" s="14"/>
      <c r="B3" s="14"/>
      <c r="C3" s="14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</row>
    <row r="4" spans="1:52" ht="13.05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</row>
    <row r="5" spans="1:52" ht="36" customHeight="1" x14ac:dyDescent="0.35">
      <c r="A5" s="13"/>
      <c r="B5" s="92" t="s">
        <v>1</v>
      </c>
      <c r="C5" s="9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</row>
    <row r="6" spans="1:52" ht="13.05" customHeight="1" x14ac:dyDescent="0.3">
      <c r="A6" s="13"/>
      <c r="B6" s="94"/>
      <c r="C6" s="94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</row>
    <row r="7" spans="1:52" ht="28.05" customHeight="1" x14ac:dyDescent="0.3">
      <c r="A7" s="13"/>
      <c r="B7" s="95" t="s">
        <v>2</v>
      </c>
      <c r="C7" s="94" t="s">
        <v>3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</row>
    <row r="8" spans="1:52" ht="28.05" customHeight="1" x14ac:dyDescent="0.3">
      <c r="A8" s="13"/>
      <c r="B8" s="96" t="s">
        <v>4</v>
      </c>
      <c r="C8" s="97" t="s">
        <v>5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</row>
    <row r="9" spans="1:52" ht="28.05" customHeight="1" x14ac:dyDescent="0.3">
      <c r="A9" s="13"/>
      <c r="B9" s="95" t="s">
        <v>6</v>
      </c>
      <c r="C9" s="94" t="s">
        <v>7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</row>
    <row r="10" spans="1:52" ht="28.05" customHeight="1" x14ac:dyDescent="0.3">
      <c r="A10" s="13"/>
      <c r="B10" s="96" t="s">
        <v>8</v>
      </c>
      <c r="C10" s="97" t="s">
        <v>9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</row>
    <row r="11" spans="1:52" ht="28.05" customHeight="1" x14ac:dyDescent="0.3">
      <c r="A11" s="13"/>
      <c r="B11" s="95" t="s">
        <v>10</v>
      </c>
      <c r="C11" s="94" t="s">
        <v>11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52" ht="13.05" customHeight="1" x14ac:dyDescent="0.3">
      <c r="A12" s="13"/>
      <c r="B12" s="94"/>
      <c r="C12" s="94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</row>
    <row r="13" spans="1:52" ht="7.95" customHeight="1" x14ac:dyDescent="0.3">
      <c r="A13" s="13"/>
      <c r="B13" s="94"/>
      <c r="C13" s="94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</row>
    <row r="14" spans="1:52" ht="36" customHeight="1" x14ac:dyDescent="0.35">
      <c r="A14" s="13"/>
      <c r="B14" s="92" t="s">
        <v>12</v>
      </c>
      <c r="C14" s="9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</row>
    <row r="15" spans="1:52" ht="13.05" customHeight="1" x14ac:dyDescent="0.3">
      <c r="A15" s="13"/>
      <c r="B15" s="94"/>
      <c r="C15" s="94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</row>
    <row r="16" spans="1:52" ht="28.05" customHeight="1" x14ac:dyDescent="0.3">
      <c r="A16" s="13"/>
      <c r="B16" s="98" t="s">
        <v>13</v>
      </c>
      <c r="C16" s="94" t="s">
        <v>14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</row>
    <row r="17" spans="1:52" ht="28.05" customHeight="1" x14ac:dyDescent="0.3">
      <c r="A17" s="13"/>
      <c r="B17" s="99" t="s">
        <v>15</v>
      </c>
      <c r="C17" s="97" t="s">
        <v>16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</row>
    <row r="18" spans="1:52" ht="28.05" customHeight="1" x14ac:dyDescent="0.3">
      <c r="A18" s="13"/>
      <c r="B18" s="98" t="s">
        <v>17</v>
      </c>
      <c r="C18" s="94" t="s">
        <v>18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</row>
    <row r="19" spans="1:52" ht="28.05" customHeight="1" x14ac:dyDescent="0.3">
      <c r="A19" s="13"/>
      <c r="B19" s="99" t="s">
        <v>19</v>
      </c>
      <c r="C19" s="97" t="s">
        <v>20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</row>
    <row r="20" spans="1:52" ht="28.05" customHeight="1" x14ac:dyDescent="0.3">
      <c r="A20" s="13"/>
      <c r="B20" s="98" t="s">
        <v>21</v>
      </c>
      <c r="C20" s="94" t="s">
        <v>22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</row>
    <row r="21" spans="1:52" ht="13.05" customHeight="1" x14ac:dyDescent="0.3">
      <c r="A21" s="13"/>
      <c r="B21" s="94"/>
      <c r="C21" s="94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</row>
    <row r="22" spans="1:52" ht="7.95" customHeight="1" x14ac:dyDescent="0.3">
      <c r="A22" s="13"/>
      <c r="B22" s="94"/>
      <c r="C22" s="94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</row>
    <row r="23" spans="1:52" ht="36" customHeight="1" x14ac:dyDescent="0.35">
      <c r="A23" s="13"/>
      <c r="B23" s="92" t="s">
        <v>23</v>
      </c>
      <c r="C23" s="9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</row>
    <row r="24" spans="1:52" ht="13.05" customHeight="1" x14ac:dyDescent="0.3">
      <c r="A24" s="13"/>
      <c r="B24" s="94"/>
      <c r="C24" s="94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</row>
    <row r="25" spans="1:52" ht="28.05" customHeight="1" x14ac:dyDescent="0.3">
      <c r="A25" s="13"/>
      <c r="B25" s="98" t="s">
        <v>24</v>
      </c>
      <c r="C25" s="94" t="s">
        <v>25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</row>
    <row r="26" spans="1:52" ht="28.05" customHeight="1" x14ac:dyDescent="0.3">
      <c r="A26" s="13"/>
      <c r="B26" s="99" t="s">
        <v>26</v>
      </c>
      <c r="C26" s="97" t="s">
        <v>27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</row>
    <row r="27" spans="1:52" ht="28.05" customHeight="1" x14ac:dyDescent="0.3">
      <c r="A27" s="13"/>
      <c r="B27" s="98" t="s">
        <v>28</v>
      </c>
      <c r="C27" s="94" t="s">
        <v>29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</row>
    <row r="28" spans="1:52" ht="28.05" customHeight="1" x14ac:dyDescent="0.3">
      <c r="A28" s="13"/>
      <c r="B28" s="99" t="s">
        <v>30</v>
      </c>
      <c r="C28" s="97" t="s">
        <v>31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</row>
    <row r="29" spans="1:52" ht="28.05" customHeight="1" x14ac:dyDescent="0.3">
      <c r="A29" s="13"/>
      <c r="B29" s="98" t="s">
        <v>32</v>
      </c>
      <c r="C29" s="94" t="s">
        <v>33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</row>
    <row r="30" spans="1:52" ht="13.05" customHeight="1" x14ac:dyDescent="0.3">
      <c r="A30" s="13"/>
      <c r="B30" s="94"/>
      <c r="C30" s="94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</row>
    <row r="31" spans="1:52" ht="7.95" customHeight="1" x14ac:dyDescent="0.3">
      <c r="A31" s="13"/>
      <c r="B31" s="94"/>
      <c r="C31" s="94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</row>
    <row r="32" spans="1:52" ht="36" customHeight="1" x14ac:dyDescent="0.35">
      <c r="A32" s="13"/>
      <c r="B32" s="92" t="s">
        <v>34</v>
      </c>
      <c r="C32" s="9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</row>
    <row r="33" spans="1:52" ht="13.05" customHeight="1" x14ac:dyDescent="0.3">
      <c r="A33" s="13"/>
      <c r="B33" s="94"/>
      <c r="C33" s="94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</row>
    <row r="34" spans="1:52" ht="28.05" customHeight="1" x14ac:dyDescent="0.3">
      <c r="A34" s="13"/>
      <c r="B34" s="100" t="s">
        <v>35</v>
      </c>
      <c r="C34" s="94" t="s">
        <v>36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</row>
    <row r="35" spans="1:52" ht="28.05" customHeight="1" x14ac:dyDescent="0.3">
      <c r="A35" s="13"/>
      <c r="B35" s="101" t="s">
        <v>37</v>
      </c>
      <c r="C35" s="97" t="s">
        <v>38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</row>
    <row r="36" spans="1:52" ht="28.05" customHeight="1" x14ac:dyDescent="0.3">
      <c r="A36" s="13"/>
      <c r="B36" s="100" t="s">
        <v>39</v>
      </c>
      <c r="C36" s="94" t="s">
        <v>40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</row>
    <row r="37" spans="1:52" ht="28.05" customHeight="1" x14ac:dyDescent="0.3">
      <c r="A37" s="13"/>
      <c r="B37" s="101" t="s">
        <v>41</v>
      </c>
      <c r="C37" s="97" t="s">
        <v>42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</row>
    <row r="38" spans="1:52" ht="28.05" customHeight="1" x14ac:dyDescent="0.3">
      <c r="A38" s="13"/>
      <c r="B38" s="100" t="s">
        <v>43</v>
      </c>
      <c r="C38" s="94" t="s">
        <v>44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</row>
    <row r="39" spans="1:52" ht="28.05" customHeight="1" x14ac:dyDescent="0.3">
      <c r="A39" s="13"/>
      <c r="B39" s="101" t="s">
        <v>45</v>
      </c>
      <c r="C39" s="97" t="s">
        <v>46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</row>
    <row r="40" spans="1:52" ht="28.05" customHeight="1" x14ac:dyDescent="0.3">
      <c r="A40" s="13"/>
      <c r="B40" s="100" t="s">
        <v>47</v>
      </c>
      <c r="C40" s="94" t="s">
        <v>48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</row>
    <row r="41" spans="1:52" ht="13.05" customHeight="1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</row>
    <row r="42" spans="1:52" ht="13.05" customHeight="1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</row>
    <row r="43" spans="1:52" ht="13.05" customHeight="1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</row>
    <row r="44" spans="1:52" ht="13.05" customHeight="1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</row>
    <row r="45" spans="1:52" ht="13.05" customHeight="1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</row>
    <row r="46" spans="1:52" ht="13.05" customHeight="1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</row>
    <row r="47" spans="1:52" ht="13.05" customHeight="1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</row>
    <row r="48" spans="1:52" ht="13.05" customHeight="1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</row>
    <row r="49" spans="1:52" ht="13.05" customHeight="1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</row>
    <row r="50" spans="1:52" ht="13.05" customHeight="1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</row>
    <row r="51" spans="1:52" ht="13.05" customHeight="1" x14ac:dyDescent="0.3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</row>
    <row r="52" spans="1:52" ht="13.05" customHeight="1" x14ac:dyDescent="0.3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</row>
    <row r="53" spans="1:52" ht="13.05" customHeight="1" x14ac:dyDescent="0.3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</row>
    <row r="54" spans="1:52" ht="13.05" customHeight="1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</row>
    <row r="55" spans="1:52" ht="13.05" customHeight="1" x14ac:dyDescent="0.3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</row>
    <row r="56" spans="1:52" ht="13.05" customHeight="1" x14ac:dyDescent="0.3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</row>
    <row r="57" spans="1:52" ht="13.05" customHeight="1" x14ac:dyDescent="0.3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</row>
    <row r="58" spans="1:52" ht="13.05" customHeight="1" x14ac:dyDescent="0.3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</row>
    <row r="59" spans="1:52" ht="13.05" customHeight="1" x14ac:dyDescent="0.3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</row>
    <row r="60" spans="1:52" ht="13.05" customHeight="1" x14ac:dyDescent="0.3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</row>
    <row r="61" spans="1:52" ht="13.05" customHeight="1" x14ac:dyDescent="0.3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</row>
    <row r="62" spans="1:52" ht="13.05" customHeight="1" x14ac:dyDescent="0.3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</row>
    <row r="63" spans="1:52" ht="13.05" customHeight="1" x14ac:dyDescent="0.3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</row>
    <row r="64" spans="1:52" ht="13.05" customHeight="1" x14ac:dyDescent="0.3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</row>
    <row r="65" spans="1:52" ht="13.05" customHeight="1" x14ac:dyDescent="0.3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</row>
    <row r="66" spans="1:52" ht="13.05" customHeight="1" x14ac:dyDescent="0.3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</row>
    <row r="67" spans="1:52" ht="13.05" customHeight="1" x14ac:dyDescent="0.3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</row>
    <row r="68" spans="1:52" ht="13.05" customHeight="1" x14ac:dyDescent="0.3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</row>
    <row r="69" spans="1:52" ht="13.05" customHeight="1" x14ac:dyDescent="0.3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</row>
    <row r="70" spans="1:52" ht="13.05" customHeight="1" x14ac:dyDescent="0.3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</row>
    <row r="71" spans="1:52" ht="13.05" customHeight="1" x14ac:dyDescent="0.3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</row>
    <row r="72" spans="1:52" ht="13.05" customHeight="1" x14ac:dyDescent="0.3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</row>
    <row r="73" spans="1:52" ht="13.05" customHeight="1" x14ac:dyDescent="0.3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</row>
    <row r="74" spans="1:52" ht="13.05" customHeight="1" x14ac:dyDescent="0.3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</row>
    <row r="75" spans="1:52" ht="13.05" customHeight="1" x14ac:dyDescent="0.3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</row>
    <row r="76" spans="1:52" ht="13.05" customHeight="1" x14ac:dyDescent="0.3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</row>
    <row r="77" spans="1:52" ht="13.05" customHeight="1" x14ac:dyDescent="0.3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</row>
    <row r="78" spans="1:52" ht="13.05" customHeight="1" x14ac:dyDescent="0.3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</row>
    <row r="79" spans="1:52" ht="13.05" customHeight="1" x14ac:dyDescent="0.3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</row>
    <row r="80" spans="1:52" ht="13.05" customHeight="1" x14ac:dyDescent="0.3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</row>
    <row r="81" spans="1:52" ht="13.05" customHeight="1" x14ac:dyDescent="0.3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</row>
    <row r="82" spans="1:52" ht="13.05" customHeight="1" x14ac:dyDescent="0.3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</row>
    <row r="83" spans="1:52" ht="13.05" customHeight="1" x14ac:dyDescent="0.3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</row>
    <row r="84" spans="1:52" ht="13.05" customHeight="1" x14ac:dyDescent="0.3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</row>
    <row r="85" spans="1:52" ht="13.05" customHeight="1" x14ac:dyDescent="0.3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</row>
    <row r="86" spans="1:52" ht="13.05" customHeight="1" x14ac:dyDescent="0.3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</row>
    <row r="87" spans="1:52" ht="13.05" customHeight="1" x14ac:dyDescent="0.3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</row>
    <row r="88" spans="1:52" ht="13.05" customHeight="1" x14ac:dyDescent="0.3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</row>
    <row r="89" spans="1:52" ht="13.05" customHeight="1" x14ac:dyDescent="0.3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</row>
    <row r="90" spans="1:52" ht="13.05" customHeight="1" x14ac:dyDescent="0.3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</row>
    <row r="91" spans="1:52" ht="13.05" customHeight="1" x14ac:dyDescent="0.3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</row>
    <row r="92" spans="1:52" ht="13.05" customHeight="1" x14ac:dyDescent="0.3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</row>
    <row r="93" spans="1:52" ht="13.05" customHeight="1" x14ac:dyDescent="0.3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</row>
    <row r="94" spans="1:52" ht="13.05" customHeight="1" x14ac:dyDescent="0.3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</row>
    <row r="95" spans="1:52" ht="13.05" customHeight="1" x14ac:dyDescent="0.3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</row>
    <row r="96" spans="1:52" ht="13.05" customHeight="1" x14ac:dyDescent="0.3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</row>
    <row r="97" spans="1:52" ht="13.05" customHeight="1" x14ac:dyDescent="0.3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</row>
    <row r="98" spans="1:52" ht="13.05" customHeight="1" x14ac:dyDescent="0.3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</row>
    <row r="99" spans="1:52" ht="13.05" customHeight="1" x14ac:dyDescent="0.3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</row>
    <row r="100" spans="1:52" ht="13.05" customHeight="1" x14ac:dyDescent="0.3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</row>
    <row r="101" spans="1:52" ht="13.05" customHeight="1" x14ac:dyDescent="0.3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</row>
    <row r="102" spans="1:52" ht="13.05" customHeight="1" x14ac:dyDescent="0.3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</row>
    <row r="103" spans="1:52" ht="13.05" customHeight="1" x14ac:dyDescent="0.3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</row>
    <row r="104" spans="1:52" ht="13.05" customHeight="1" x14ac:dyDescent="0.3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</row>
    <row r="105" spans="1:52" ht="13.05" customHeight="1" x14ac:dyDescent="0.3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</row>
    <row r="106" spans="1:52" ht="13.05" customHeight="1" x14ac:dyDescent="0.3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</row>
    <row r="107" spans="1:52" ht="13.05" customHeight="1" x14ac:dyDescent="0.3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</row>
    <row r="108" spans="1:52" ht="13.05" customHeight="1" x14ac:dyDescent="0.3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</row>
    <row r="109" spans="1:52" ht="13.05" customHeight="1" x14ac:dyDescent="0.3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</row>
    <row r="110" spans="1:52" ht="13.05" customHeight="1" x14ac:dyDescent="0.3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</row>
    <row r="111" spans="1:52" ht="13.05" customHeight="1" x14ac:dyDescent="0.3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</row>
    <row r="112" spans="1:52" ht="13.05" customHeight="1" x14ac:dyDescent="0.3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</row>
    <row r="113" spans="1:52" ht="13.05" customHeight="1" x14ac:dyDescent="0.3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</row>
    <row r="114" spans="1:52" ht="13.05" customHeight="1" x14ac:dyDescent="0.3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</row>
    <row r="115" spans="1:52" ht="13.05" customHeight="1" x14ac:dyDescent="0.3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</row>
    <row r="116" spans="1:52" ht="13.05" customHeight="1" x14ac:dyDescent="0.3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</row>
    <row r="117" spans="1:52" ht="13.05" customHeight="1" x14ac:dyDescent="0.3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</row>
    <row r="118" spans="1:52" ht="13.05" customHeight="1" x14ac:dyDescent="0.3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</row>
    <row r="119" spans="1:52" ht="13.05" customHeight="1" x14ac:dyDescent="0.3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</row>
    <row r="120" spans="1:52" ht="13.05" customHeight="1" x14ac:dyDescent="0.3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</row>
    <row r="121" spans="1:52" ht="13.05" customHeight="1" x14ac:dyDescent="0.3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</row>
    <row r="122" spans="1:52" ht="13.05" customHeight="1" x14ac:dyDescent="0.3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</row>
    <row r="123" spans="1:52" ht="13.05" customHeight="1" x14ac:dyDescent="0.3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</row>
    <row r="124" spans="1:52" ht="13.05" customHeight="1" x14ac:dyDescent="0.3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</row>
    <row r="125" spans="1:52" ht="13.05" customHeight="1" x14ac:dyDescent="0.3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</row>
    <row r="126" spans="1:52" ht="13.05" customHeight="1" x14ac:dyDescent="0.3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</row>
    <row r="127" spans="1:52" ht="13.05" customHeight="1" x14ac:dyDescent="0.3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</row>
    <row r="128" spans="1:52" ht="13.05" customHeight="1" x14ac:dyDescent="0.3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</row>
    <row r="129" spans="1:52" ht="13.05" customHeight="1" x14ac:dyDescent="0.3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</row>
    <row r="130" spans="1:52" ht="13.05" customHeight="1" x14ac:dyDescent="0.3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</row>
    <row r="131" spans="1:52" ht="13.05" customHeight="1" x14ac:dyDescent="0.3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</row>
    <row r="132" spans="1:52" ht="13.05" customHeight="1" x14ac:dyDescent="0.3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</row>
    <row r="133" spans="1:52" ht="13.05" customHeight="1" x14ac:dyDescent="0.3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</row>
    <row r="134" spans="1:52" ht="13.05" customHeight="1" x14ac:dyDescent="0.3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</row>
    <row r="135" spans="1:52" ht="13.05" customHeight="1" x14ac:dyDescent="0.3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</row>
    <row r="136" spans="1:52" ht="13.05" customHeigh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</row>
    <row r="137" spans="1:52" ht="13.05" customHeight="1" x14ac:dyDescent="0.3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</row>
    <row r="138" spans="1:52" ht="13.05" customHeigh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</row>
    <row r="139" spans="1:52" ht="13.05" customHeigh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</row>
    <row r="140" spans="1:52" ht="13.05" customHeight="1" x14ac:dyDescent="0.3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</row>
    <row r="141" spans="1:52" ht="13.05" customHeight="1" x14ac:dyDescent="0.3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</row>
    <row r="142" spans="1:52" ht="13.05" customHeight="1" x14ac:dyDescent="0.3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</row>
    <row r="143" spans="1:52" ht="13.05" customHeigh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</row>
    <row r="144" spans="1:52" ht="13.05" customHeight="1" x14ac:dyDescent="0.3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</row>
    <row r="145" spans="1:52" ht="13.05" customHeight="1" x14ac:dyDescent="0.3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</row>
    <row r="146" spans="1:52" ht="13.05" customHeight="1" x14ac:dyDescent="0.3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</row>
    <row r="147" spans="1:52" ht="13.05" customHeigh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</row>
    <row r="148" spans="1:52" ht="13.05" customHeight="1" x14ac:dyDescent="0.3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</row>
    <row r="149" spans="1:52" ht="13.05" customHeight="1" x14ac:dyDescent="0.3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</row>
    <row r="150" spans="1:52" ht="13.05" customHeight="1" x14ac:dyDescent="0.3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</row>
    <row r="151" spans="1:52" ht="13.05" customHeigh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</row>
    <row r="152" spans="1:52" ht="13.05" customHeight="1" x14ac:dyDescent="0.3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</row>
    <row r="153" spans="1:52" ht="13.05" customHeight="1" x14ac:dyDescent="0.3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</row>
    <row r="154" spans="1:52" ht="13.05" customHeight="1" x14ac:dyDescent="0.3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</row>
    <row r="155" spans="1:52" ht="13.05" customHeight="1" x14ac:dyDescent="0.3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</row>
    <row r="156" spans="1:52" ht="13.05" customHeight="1" x14ac:dyDescent="0.3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</row>
    <row r="157" spans="1:52" ht="13.05" customHeight="1" x14ac:dyDescent="0.3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</row>
    <row r="158" spans="1:52" ht="13.05" customHeight="1" x14ac:dyDescent="0.3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</row>
    <row r="159" spans="1:52" ht="13.05" customHeight="1" x14ac:dyDescent="0.3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</row>
    <row r="160" spans="1:52" ht="13.05" customHeight="1" x14ac:dyDescent="0.3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</row>
    <row r="161" spans="1:52" ht="13.05" customHeight="1" x14ac:dyDescent="0.3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</row>
    <row r="162" spans="1:52" ht="13.05" customHeight="1" x14ac:dyDescent="0.3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</row>
    <row r="163" spans="1:52" ht="13.05" customHeight="1" x14ac:dyDescent="0.3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</row>
    <row r="164" spans="1:52" ht="13.05" customHeight="1" x14ac:dyDescent="0.3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</row>
    <row r="165" spans="1:52" ht="13.05" customHeight="1" x14ac:dyDescent="0.3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</row>
    <row r="166" spans="1:52" ht="13.05" customHeight="1" x14ac:dyDescent="0.3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</row>
    <row r="167" spans="1:52" ht="13.05" customHeight="1" x14ac:dyDescent="0.3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</row>
    <row r="168" spans="1:52" ht="13.05" customHeight="1" x14ac:dyDescent="0.3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</row>
    <row r="169" spans="1:52" ht="13.05" customHeight="1" x14ac:dyDescent="0.3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</row>
    <row r="170" spans="1:52" ht="13.05" customHeight="1" x14ac:dyDescent="0.3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</row>
    <row r="171" spans="1:52" ht="13.05" customHeight="1" x14ac:dyDescent="0.3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</row>
    <row r="172" spans="1:52" ht="13.05" customHeight="1" x14ac:dyDescent="0.3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</row>
    <row r="173" spans="1:52" ht="13.05" customHeight="1" x14ac:dyDescent="0.3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</row>
    <row r="174" spans="1:52" ht="13.05" customHeight="1" x14ac:dyDescent="0.3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</row>
    <row r="175" spans="1:52" ht="13.05" customHeight="1" x14ac:dyDescent="0.3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</row>
    <row r="176" spans="1:52" ht="13.05" customHeight="1" x14ac:dyDescent="0.3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</row>
    <row r="177" spans="1:52" ht="13.05" customHeight="1" x14ac:dyDescent="0.3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</row>
    <row r="178" spans="1:52" ht="13.05" customHeight="1" x14ac:dyDescent="0.3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</row>
    <row r="179" spans="1:52" ht="13.05" customHeight="1" x14ac:dyDescent="0.3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</row>
    <row r="180" spans="1:52" ht="13.05" customHeight="1" x14ac:dyDescent="0.3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</row>
    <row r="181" spans="1:52" ht="13.05" customHeight="1" x14ac:dyDescent="0.3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</row>
    <row r="182" spans="1:52" ht="13.05" customHeight="1" x14ac:dyDescent="0.3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</row>
    <row r="183" spans="1:52" ht="13.05" customHeight="1" x14ac:dyDescent="0.3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</row>
    <row r="184" spans="1:52" ht="13.05" customHeight="1" x14ac:dyDescent="0.3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</row>
    <row r="185" spans="1:52" ht="13.05" customHeight="1" x14ac:dyDescent="0.3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</row>
    <row r="186" spans="1:52" ht="13.05" customHeight="1" x14ac:dyDescent="0.3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</row>
    <row r="187" spans="1:52" ht="13.05" customHeight="1" x14ac:dyDescent="0.3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</row>
    <row r="188" spans="1:52" ht="13.05" customHeight="1" x14ac:dyDescent="0.3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</row>
    <row r="189" spans="1:52" ht="13.05" customHeight="1" x14ac:dyDescent="0.3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</row>
    <row r="190" spans="1:52" ht="13.05" customHeight="1" x14ac:dyDescent="0.3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</row>
    <row r="191" spans="1:52" ht="13.05" customHeight="1" x14ac:dyDescent="0.3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</row>
    <row r="192" spans="1:52" ht="13.05" customHeight="1" x14ac:dyDescent="0.3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</row>
    <row r="193" spans="1:52" ht="13.05" customHeight="1" x14ac:dyDescent="0.3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</row>
    <row r="194" spans="1:52" ht="13.05" customHeight="1" x14ac:dyDescent="0.3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</row>
    <row r="195" spans="1:52" ht="13.05" customHeight="1" x14ac:dyDescent="0.3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</row>
    <row r="196" spans="1:52" ht="13.05" customHeight="1" x14ac:dyDescent="0.3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</row>
    <row r="197" spans="1:52" ht="13.05" customHeight="1" x14ac:dyDescent="0.3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</row>
    <row r="198" spans="1:52" ht="13.05" customHeight="1" x14ac:dyDescent="0.3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</row>
    <row r="199" spans="1:52" ht="13.05" customHeight="1" x14ac:dyDescent="0.3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</row>
    <row r="200" spans="1:52" ht="13.05" customHeigh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D1B2A"/>
  </sheetPr>
  <dimension ref="A1:AZ200"/>
  <sheetViews>
    <sheetView showGridLines="0" topLeftCell="B1" zoomScaleNormal="100" workbookViewId="0">
      <selection activeCell="F8" sqref="F8"/>
    </sheetView>
  </sheetViews>
  <sheetFormatPr defaultRowHeight="13.2" outlineLevelRow="1" x14ac:dyDescent="0.25"/>
  <cols>
    <col min="1" max="1" width="1.44140625" customWidth="1"/>
    <col min="2" max="16" width="14.5546875" customWidth="1"/>
    <col min="17" max="17" width="14.5546875" hidden="1" customWidth="1"/>
  </cols>
  <sheetData>
    <row r="1" spans="1:52" ht="13.05" customHeight="1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</row>
    <row r="2" spans="1:52" ht="28.5" customHeight="1" x14ac:dyDescent="0.55000000000000004">
      <c r="A2" s="14"/>
      <c r="B2" s="15" t="s">
        <v>49</v>
      </c>
      <c r="C2" s="14"/>
      <c r="D2" s="14"/>
      <c r="E2" s="14"/>
      <c r="F2" s="26" t="s">
        <v>50</v>
      </c>
      <c r="G2" s="14"/>
      <c r="H2" s="14"/>
      <c r="I2" s="14"/>
      <c r="J2" s="14"/>
      <c r="K2" s="14"/>
      <c r="L2" s="26" t="s">
        <v>51</v>
      </c>
      <c r="M2" s="14"/>
      <c r="N2" s="14"/>
      <c r="O2" s="14"/>
      <c r="P2" s="14"/>
      <c r="Q2" s="14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</row>
    <row r="3" spans="1:52" ht="13.05" customHeight="1" x14ac:dyDescent="0.3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</row>
    <row r="4" spans="1:52" ht="12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</row>
    <row r="5" spans="1:52" ht="31.95" customHeight="1" x14ac:dyDescent="0.35">
      <c r="A5" s="13"/>
      <c r="B5" s="12" t="s">
        <v>52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</row>
    <row r="6" spans="1:52" ht="7.95" customHeight="1" thickBot="1" x14ac:dyDescent="0.3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</row>
    <row r="7" spans="1:52" ht="19.95" customHeight="1" thickTop="1" x14ac:dyDescent="0.3">
      <c r="A7" s="13"/>
      <c r="B7" s="66" t="s">
        <v>53</v>
      </c>
      <c r="C7" s="62"/>
      <c r="D7" s="62"/>
      <c r="E7" s="13"/>
      <c r="F7" s="67" t="s">
        <v>54</v>
      </c>
      <c r="G7" s="63"/>
      <c r="H7" s="63"/>
      <c r="I7" s="13"/>
      <c r="J7" s="68" t="s">
        <v>55</v>
      </c>
      <c r="K7" s="64"/>
      <c r="L7" s="64"/>
      <c r="M7" s="13"/>
      <c r="N7" s="69" t="s">
        <v>56</v>
      </c>
      <c r="O7" s="65"/>
      <c r="P7" s="65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</row>
    <row r="8" spans="1:52" ht="42" customHeight="1" x14ac:dyDescent="0.7">
      <c r="A8" s="13"/>
      <c r="B8" s="70">
        <f>Risks!I2</f>
        <v>3</v>
      </c>
      <c r="C8" s="61"/>
      <c r="D8" s="61"/>
      <c r="E8" s="13"/>
      <c r="F8" s="70">
        <f>Actions!I2</f>
        <v>150</v>
      </c>
      <c r="G8" s="61"/>
      <c r="H8" s="61"/>
      <c r="I8" s="13"/>
      <c r="J8" s="70">
        <f>Issues!I2</f>
        <v>150</v>
      </c>
      <c r="K8" s="61"/>
      <c r="L8" s="61"/>
      <c r="M8" s="13"/>
      <c r="N8" s="70">
        <f>Decisions!I2</f>
        <v>150</v>
      </c>
      <c r="O8" s="61"/>
      <c r="P8" s="61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</row>
    <row r="9" spans="1:52" ht="19.95" customHeight="1" x14ac:dyDescent="0.3">
      <c r="A9" s="13"/>
      <c r="B9" s="71" t="str">
        <f>Risks!K2&amp;" Critical"</f>
        <v>1 Critical</v>
      </c>
      <c r="C9" s="61"/>
      <c r="D9" s="61"/>
      <c r="E9" s="13"/>
      <c r="F9" s="71" t="str">
        <f ca="1">Actions!L2&amp;" Overdue"</f>
        <v>0 Overdue</v>
      </c>
      <c r="G9" s="61"/>
      <c r="H9" s="61"/>
      <c r="I9" s="13"/>
      <c r="J9" s="71" t="str">
        <f ca="1">Issues!L2&amp;" Overdue"</f>
        <v>0 Overdue</v>
      </c>
      <c r="K9" s="61"/>
      <c r="L9" s="61"/>
      <c r="M9" s="13"/>
      <c r="N9" s="71" t="str">
        <f>Decisions!L2&amp;" Pending"</f>
        <v>0 Pending</v>
      </c>
      <c r="O9" s="61"/>
      <c r="P9" s="61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</row>
    <row r="10" spans="1:52" ht="7.95" customHeight="1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</row>
    <row r="11" spans="1:52" ht="18" customHeight="1" x14ac:dyDescent="0.3">
      <c r="A11" s="13"/>
      <c r="B11" s="73" t="s">
        <v>57</v>
      </c>
      <c r="C11" s="72"/>
      <c r="D11" s="72"/>
      <c r="E11" s="13"/>
      <c r="F11" s="76" t="s">
        <v>58</v>
      </c>
      <c r="G11" s="75"/>
      <c r="H11" s="75"/>
      <c r="I11" s="13"/>
      <c r="J11" s="79" t="s">
        <v>59</v>
      </c>
      <c r="K11" s="78"/>
      <c r="L11" s="78"/>
      <c r="M11" s="13"/>
      <c r="N11" s="82" t="s">
        <v>60</v>
      </c>
      <c r="O11" s="81"/>
      <c r="P11" s="81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52" ht="28.05" customHeight="1" x14ac:dyDescent="0.45">
      <c r="A12" s="13"/>
      <c r="B12" s="74">
        <f>Risks!K2+COUNTIF(Issues!I6:I155,"Critical")</f>
        <v>1</v>
      </c>
      <c r="C12" s="72"/>
      <c r="D12" s="72"/>
      <c r="E12" s="13"/>
      <c r="F12" s="77">
        <f ca="1">Risks!N2+Actions!L2+Issues!L2</f>
        <v>0</v>
      </c>
      <c r="G12" s="75"/>
      <c r="H12" s="75"/>
      <c r="I12" s="13"/>
      <c r="J12" s="80">
        <f>COUNTIFS(Risks!O6:O151,"",Risks!B6:B151,"&lt;&gt;",Risks!R6:R151,"&lt;&gt;Resolved")+COUNTIFS(Actions!J6:J155,"",Actions!B6:B155,"&lt;&gt;",Actions!M6:M155,"&lt;&gt;Resolved")</f>
        <v>284</v>
      </c>
      <c r="K12" s="78"/>
      <c r="L12" s="78"/>
      <c r="M12" s="13"/>
      <c r="N12" s="83">
        <f>COUNTIF(Risks!R6:R151,"Resolved")+COUNTIF(Actions!M6:M155,"Resolved")+COUNTIF(Issues!O6:O155,"Resolved")</f>
        <v>2</v>
      </c>
      <c r="O12" s="81"/>
      <c r="P12" s="81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</row>
    <row r="13" spans="1:52" ht="7.9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</row>
    <row r="14" spans="1:52" ht="31.95" customHeight="1" x14ac:dyDescent="0.35">
      <c r="A14" s="13"/>
      <c r="B14" s="12" t="s">
        <v>61</v>
      </c>
      <c r="C14" s="16"/>
      <c r="D14" s="16"/>
      <c r="E14" s="16"/>
      <c r="F14" s="16"/>
      <c r="G14" s="16"/>
      <c r="H14" s="16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</row>
    <row r="15" spans="1:52" ht="33.450000000000003" customHeight="1" x14ac:dyDescent="0.3">
      <c r="A15" s="13"/>
      <c r="B15" s="13"/>
      <c r="C15" s="84" t="s">
        <v>62</v>
      </c>
      <c r="D15" s="108" t="s">
        <v>63</v>
      </c>
      <c r="E15" s="108" t="s">
        <v>64</v>
      </c>
      <c r="F15" s="108" t="s">
        <v>65</v>
      </c>
      <c r="G15" s="108" t="s">
        <v>66</v>
      </c>
      <c r="H15" s="108" t="s">
        <v>67</v>
      </c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</row>
    <row r="16" spans="1:52" ht="36" customHeight="1" x14ac:dyDescent="0.3">
      <c r="A16" s="13"/>
      <c r="B16" s="84" t="s">
        <v>68</v>
      </c>
      <c r="C16" s="85">
        <v>0.9</v>
      </c>
      <c r="D16" s="86">
        <f>IFERROR(COUNTIFS(Risks!H6:H151,0.9,Risks!I6:I151,1,Risks!R6:R151,"&lt;&gt;Resolved",Risks!R6:R151,"&lt;&gt;Cancelled"),0)</f>
        <v>0</v>
      </c>
      <c r="E16" s="87">
        <f>IFERROR(COUNTIFS(Risks!H6:H151,0.9,Risks!I6:I151,2,Risks!R6:R151,"&lt;&gt;Resolved",Risks!R6:R151,"&lt;&gt;Cancelled"),0)</f>
        <v>0</v>
      </c>
      <c r="F16" s="87">
        <f>IFERROR(COUNTIFS(Risks!H6:H151,0.9,Risks!I6:I151,3,Risks!R6:R151,"&lt;&gt;Resolved",Risks!R6:R151,"&lt;&gt;Cancelled"),0)</f>
        <v>0</v>
      </c>
      <c r="G16" s="88">
        <f>IFERROR(COUNTIFS(Risks!H6:H151,0.9,Risks!I6:I151,4,Risks!R6:R151,"&lt;&gt;Resolved",Risks!R6:R151,"&lt;&gt;Cancelled"),0)</f>
        <v>0</v>
      </c>
      <c r="H16" s="88">
        <f>IFERROR(COUNTIFS(Risks!H6:H151,0.9,Risks!I6:I151,5,Risks!R6:R151,"&lt;&gt;Resolved",Risks!R6:R151,"&lt;&gt;Cancelled"),0)</f>
        <v>0</v>
      </c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</row>
    <row r="17" spans="1:52" ht="36" customHeight="1" x14ac:dyDescent="0.3">
      <c r="A17" s="13"/>
      <c r="B17" s="13"/>
      <c r="C17" s="85">
        <v>0.7</v>
      </c>
      <c r="D17" s="89">
        <f>IFERROR(COUNTIFS(Risks!H6:H151,0.7,Risks!I6:I151,1,Risks!R6:R151,"&lt;&gt;Resolved",Risks!R6:R151,"&lt;&gt;Cancelled"),0)</f>
        <v>0</v>
      </c>
      <c r="E17" s="86">
        <f>IFERROR(COUNTIFS(Risks!H6:H151,0.7,Risks!I6:I151,2,Risks!R6:R151,"&lt;&gt;Resolved",Risks!R6:R151,"&lt;&gt;Cancelled"),0)</f>
        <v>0</v>
      </c>
      <c r="F17" s="87">
        <f>IFERROR(COUNTIFS(Risks!H6:H151,0.7,Risks!I6:I151,3,Risks!R6:R151,"&lt;&gt;Resolved",Risks!R6:R151,"&lt;&gt;Cancelled"),0)</f>
        <v>1</v>
      </c>
      <c r="G17" s="88">
        <f>IFERROR(COUNTIFS(Risks!H6:H151,0.7,Risks!I6:I151,4,Risks!R6:R151,"&lt;&gt;Resolved",Risks!R6:R151,"&lt;&gt;Cancelled"),0)</f>
        <v>1</v>
      </c>
      <c r="H17" s="88">
        <f>IFERROR(COUNTIFS(Risks!H6:H151,0.7,Risks!I6:I151,5,Risks!R6:R151,"&lt;&gt;Resolved",Risks!R6:R151,"&lt;&gt;Cancelled"),0)</f>
        <v>0</v>
      </c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</row>
    <row r="18" spans="1:52" ht="36" customHeight="1" x14ac:dyDescent="0.3">
      <c r="A18" s="13"/>
      <c r="B18" s="13"/>
      <c r="C18" s="85">
        <v>0.5</v>
      </c>
      <c r="D18" s="89">
        <f>IFERROR(COUNTIFS(Risks!H6:H151,0.5,Risks!I6:I151,1,Risks!R6:R151,"&lt;&gt;Resolved",Risks!R6:R151,"&lt;&gt;Cancelled"),0)</f>
        <v>0</v>
      </c>
      <c r="E18" s="86">
        <f>IFERROR(COUNTIFS(Risks!H6:H151,0.5,Risks!I6:I151,2,Risks!R6:R151,"&lt;&gt;Resolved",Risks!R6:R151,"&lt;&gt;Cancelled"),0)</f>
        <v>0</v>
      </c>
      <c r="F18" s="86">
        <f>IFERROR(COUNTIFS(Risks!H6:H151,0.5,Risks!I6:I151,3,Risks!R6:R151,"&lt;&gt;Resolved",Risks!R6:R151,"&lt;&gt;Cancelled"),0)</f>
        <v>0</v>
      </c>
      <c r="G18" s="87">
        <f>IFERROR(COUNTIFS(Risks!H6:H151,0.5,Risks!I6:I151,4,Risks!R6:R151,"&lt;&gt;Resolved",Risks!R6:R151,"&lt;&gt;Cancelled"),0)</f>
        <v>0</v>
      </c>
      <c r="H18" s="87">
        <f>IFERROR(COUNTIFS(Risks!H6:H151,0.5,Risks!I6:I151,5,Risks!R6:R151,"&lt;&gt;Resolved",Risks!R6:R151,"&lt;&gt;Cancelled"),0)</f>
        <v>0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</row>
    <row r="19" spans="1:52" ht="36" customHeight="1" x14ac:dyDescent="0.3">
      <c r="A19" s="13"/>
      <c r="B19" s="13"/>
      <c r="C19" s="85">
        <v>0.3</v>
      </c>
      <c r="D19" s="89">
        <f>IFERROR(COUNTIFS(Risks!H6:H151,0.3,Risks!I6:I151,1,Risks!R6:R151,"&lt;&gt;Resolved",Risks!R6:R151,"&lt;&gt;Cancelled"),0)</f>
        <v>0</v>
      </c>
      <c r="E19" s="89">
        <f>IFERROR(COUNTIFS(Risks!H6:H151,0.3,Risks!I6:I151,2,Risks!R6:R151,"&lt;&gt;Resolved",Risks!R6:R151,"&lt;&gt;Cancelled"),0)</f>
        <v>1</v>
      </c>
      <c r="F19" s="86">
        <f>IFERROR(COUNTIFS(Risks!H6:H151,0.3,Risks!I6:I151,3,Risks!R6:R151,"&lt;&gt;Resolved",Risks!R6:R151,"&lt;&gt;Cancelled"),0)</f>
        <v>0</v>
      </c>
      <c r="G19" s="86">
        <f>IFERROR(COUNTIFS(Risks!H6:H151,0.3,Risks!I6:I151,4,Risks!R6:R151,"&lt;&gt;Resolved",Risks!R6:R151,"&lt;&gt;Cancelled"),0)</f>
        <v>0</v>
      </c>
      <c r="H19" s="87">
        <f>IFERROR(COUNTIFS(Risks!H6:H151,0.3,Risks!I6:I151,5,Risks!R6:R151,"&lt;&gt;Resolved",Risks!R6:R151,"&lt;&gt;Cancelled"),0)</f>
        <v>0</v>
      </c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</row>
    <row r="20" spans="1:52" ht="36" customHeight="1" x14ac:dyDescent="0.3">
      <c r="A20" s="13"/>
      <c r="B20" s="13"/>
      <c r="C20" s="85">
        <v>0.1</v>
      </c>
      <c r="D20" s="89">
        <f>IFERROR(COUNTIFS(Risks!H6:H151,0.1,Risks!I6:I151,1,Risks!R6:R151,"&lt;&gt;Resolved",Risks!R6:R151,"&lt;&gt;Cancelled"),0)</f>
        <v>0</v>
      </c>
      <c r="E20" s="89">
        <f>IFERROR(COUNTIFS(Risks!H6:H151,0.1,Risks!I6:I151,2,Risks!R6:R151,"&lt;&gt;Resolved",Risks!R6:R151,"&lt;&gt;Cancelled"),0)</f>
        <v>0</v>
      </c>
      <c r="F20" s="89">
        <f>IFERROR(COUNTIFS(Risks!H6:H151,0.1,Risks!I6:I151,3,Risks!R6:R151,"&lt;&gt;Resolved",Risks!R6:R151,"&lt;&gt;Cancelled"),0)</f>
        <v>0</v>
      </c>
      <c r="G20" s="89">
        <f>IFERROR(COUNTIFS(Risks!H6:H151,0.1,Risks!I6:I151,4,Risks!R6:R151,"&lt;&gt;Resolved",Risks!R6:R151,"&lt;&gt;Cancelled"),0)</f>
        <v>0</v>
      </c>
      <c r="H20" s="86">
        <f>IFERROR(COUNTIFS(Risks!H6:H151,0.1,Risks!I6:I151,5,Risks!R6:R151,"&lt;&gt;Resolved",Risks!R6:R151,"&lt;&gt;Cancelled"),0)</f>
        <v>0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</row>
    <row r="21" spans="1:52" ht="7.95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</row>
    <row r="22" spans="1:52" ht="31.95" customHeight="1" x14ac:dyDescent="0.35">
      <c r="A22" s="13"/>
      <c r="B22" s="12" t="s">
        <v>69</v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</row>
    <row r="23" spans="1:52" ht="28.05" customHeight="1" x14ac:dyDescent="0.3">
      <c r="A23" s="13"/>
      <c r="B23" s="11" t="s">
        <v>70</v>
      </c>
      <c r="C23" s="11" t="s">
        <v>71</v>
      </c>
      <c r="D23" s="11"/>
      <c r="E23" s="11" t="s">
        <v>72</v>
      </c>
      <c r="F23" s="11"/>
      <c r="G23" s="11"/>
      <c r="H23" s="11" t="s">
        <v>73</v>
      </c>
      <c r="I23" s="11" t="s">
        <v>74</v>
      </c>
      <c r="J23" s="11" t="s">
        <v>75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</row>
    <row r="24" spans="1:52" ht="28.05" customHeight="1" x14ac:dyDescent="0.3">
      <c r="A24" s="13"/>
      <c r="B24" s="38" t="str">
        <f ca="1">Config!A32</f>
        <v>⚠️ Risk</v>
      </c>
      <c r="C24" s="34" t="str">
        <f ca="1">Config!B32</f>
        <v>R001</v>
      </c>
      <c r="D24" s="31"/>
      <c r="E24" s="31" t="str">
        <f ca="1">Config!C32</f>
        <v>Prazo sem buffer</v>
      </c>
      <c r="F24" s="31"/>
      <c r="G24" s="90"/>
      <c r="H24" s="38" t="str">
        <f ca="1">Config!D32</f>
        <v>Critical</v>
      </c>
      <c r="I24" s="31" t="str">
        <f ca="1">Config!E32</f>
        <v>GP Stratesys + Sponsor EDF</v>
      </c>
      <c r="J24" s="42">
        <f ca="1">Config!F32</f>
        <v>16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</row>
    <row r="25" spans="1:52" ht="28.05" customHeight="1" x14ac:dyDescent="0.3">
      <c r="A25" s="13"/>
      <c r="B25" s="39" t="str">
        <f ca="1">Config!A33</f>
        <v>⚠️ Risk</v>
      </c>
      <c r="C25" s="35" t="str">
        <f ca="1">Config!B33</f>
        <v>R002</v>
      </c>
      <c r="D25" s="33"/>
      <c r="E25" s="33" t="str">
        <f ca="1">Config!C33</f>
        <v>UAT do S/4HANA não concluído antes do início Ariba</v>
      </c>
      <c r="F25" s="33"/>
      <c r="G25" s="90"/>
      <c r="H25" s="39" t="str">
        <f ca="1">Config!D33</f>
        <v>High</v>
      </c>
      <c r="I25" s="33" t="str">
        <f ca="1">Config!E33</f>
        <v>Sponsor EDF + GP S/4 + GP Ariba</v>
      </c>
      <c r="J25" s="44">
        <f ca="1">Config!F33</f>
        <v>16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</row>
    <row r="26" spans="1:52" ht="28.05" customHeight="1" x14ac:dyDescent="0.3">
      <c r="A26" s="13"/>
      <c r="B26" s="38" t="str">
        <f ca="1">Config!A34</f>
        <v>⚠️ Risk</v>
      </c>
      <c r="C26" s="34" t="str">
        <f ca="1">Config!B34</f>
        <v>R005</v>
      </c>
      <c r="D26" s="31"/>
      <c r="E26" s="31" t="str">
        <f ca="1">Config!C34</f>
        <v>Tempo de resposta acima de 2 dias úteis</v>
      </c>
      <c r="F26" s="31"/>
      <c r="G26" s="90"/>
      <c r="H26" s="38" t="str">
        <f ca="1">Config!D34</f>
        <v>Low</v>
      </c>
      <c r="I26" s="31" t="str">
        <f ca="1">Config!E34</f>
        <v>GP Stratesys + Sponsors</v>
      </c>
      <c r="J26" s="42">
        <f ca="1">Config!F34</f>
        <v>16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</row>
    <row r="27" spans="1:52" ht="28.05" customHeight="1" x14ac:dyDescent="0.3">
      <c r="A27" s="13"/>
      <c r="B27" s="39" t="str">
        <f ca="1">Config!A35</f>
        <v/>
      </c>
      <c r="C27" s="35" t="str">
        <f ca="1">Config!B35</f>
        <v/>
      </c>
      <c r="D27" s="33"/>
      <c r="E27" s="33" t="str">
        <f ca="1">Config!C35</f>
        <v/>
      </c>
      <c r="F27" s="33"/>
      <c r="G27" s="90"/>
      <c r="H27" s="39" t="str">
        <f ca="1">Config!D35</f>
        <v/>
      </c>
      <c r="I27" s="33" t="str">
        <f ca="1">Config!E35</f>
        <v/>
      </c>
      <c r="J27" s="44" t="str">
        <f ca="1">Config!F35</f>
        <v/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</row>
    <row r="29" spans="1:52" ht="13.05" customHeight="1" x14ac:dyDescent="0.3">
      <c r="A29" s="13"/>
      <c r="B29" s="38" t="str">
        <f ca="1">Config!A36</f>
        <v/>
      </c>
      <c r="C29" s="34" t="str">
        <f ca="1">Config!B36</f>
        <v/>
      </c>
      <c r="D29" s="31"/>
      <c r="E29" s="31" t="str">
        <f ca="1">Config!C36</f>
        <v/>
      </c>
      <c r="F29" s="31"/>
      <c r="G29" s="91"/>
      <c r="H29" s="38" t="str">
        <f ca="1">Config!D36</f>
        <v/>
      </c>
      <c r="I29" s="31" t="str">
        <f ca="1">Config!E36</f>
        <v/>
      </c>
      <c r="J29" s="42" t="str">
        <f ca="1">Config!F36</f>
        <v/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</row>
    <row r="30" spans="1:52" ht="13.05" customHeight="1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</row>
    <row r="31" spans="1:52" ht="13.05" customHeight="1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</row>
    <row r="32" spans="1:52" ht="13.05" customHeight="1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</row>
    <row r="33" spans="1:52" ht="13.05" customHeight="1" outlineLevel="1" x14ac:dyDescent="0.3">
      <c r="A33" s="13"/>
      <c r="B33" s="13" t="s">
        <v>76</v>
      </c>
      <c r="C33" s="13"/>
      <c r="D33" s="13"/>
      <c r="E33" s="13" t="s">
        <v>77</v>
      </c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</row>
    <row r="34" spans="1:52" ht="13.05" customHeight="1" outlineLevel="1" x14ac:dyDescent="0.3">
      <c r="A34" s="13"/>
      <c r="B34" s="13" t="s">
        <v>78</v>
      </c>
      <c r="C34" s="13" t="s">
        <v>79</v>
      </c>
      <c r="D34" s="13"/>
      <c r="E34" s="13" t="s">
        <v>80</v>
      </c>
      <c r="F34" s="13" t="s">
        <v>81</v>
      </c>
      <c r="G34" s="13" t="s">
        <v>82</v>
      </c>
      <c r="H34" s="13" t="s">
        <v>83</v>
      </c>
      <c r="I34" s="13" t="s">
        <v>84</v>
      </c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</row>
    <row r="35" spans="1:52" ht="13.05" customHeight="1" outlineLevel="1" x14ac:dyDescent="0.3">
      <c r="A35" s="13"/>
      <c r="B35" s="13" t="s">
        <v>85</v>
      </c>
      <c r="C35" s="13">
        <f>COUNTIF(Risks!R6:R151,"Not Started")+COUNTIF(Actions!M6:M155,"Not Started")+COUNTIF(Issues!O6:O155,"Not Started")</f>
        <v>0</v>
      </c>
      <c r="D35" s="13"/>
      <c r="E35" s="13" t="s">
        <v>86</v>
      </c>
      <c r="F35" s="13">
        <f>COUNTIF(Risks!K6:K151,"Critical")</f>
        <v>1</v>
      </c>
      <c r="G35" s="13">
        <f>COUNTIF(Risks!K6:K151,"High")</f>
        <v>1</v>
      </c>
      <c r="H35" s="13">
        <f>COUNTIF(Risks!K6:K151,"Medium")</f>
        <v>1</v>
      </c>
      <c r="I35" s="13">
        <f>COUNTIF(Risks!K6:K151,"Low")</f>
        <v>2</v>
      </c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</row>
    <row r="36" spans="1:52" ht="13.05" customHeight="1" outlineLevel="1" x14ac:dyDescent="0.3">
      <c r="A36" s="13"/>
      <c r="B36" s="13" t="s">
        <v>87</v>
      </c>
      <c r="C36" s="13">
        <f>COUNTIF(Risks!R6:R151,"In Progress")+COUNTIF(Actions!M6:M155,"In Progress")+COUNTIF(Issues!O6:O155,"In Progress")</f>
        <v>3</v>
      </c>
      <c r="D36" s="13"/>
      <c r="E36" s="13" t="s">
        <v>88</v>
      </c>
      <c r="F36" s="13">
        <f>COUNTIF(Actions!I6:I155,"Critical")</f>
        <v>0</v>
      </c>
      <c r="G36" s="13">
        <f>COUNTIF(Actions!I6:I155,"High")</f>
        <v>0</v>
      </c>
      <c r="H36" s="13">
        <f>COUNTIF(Actions!I6:I155,"Medium")</f>
        <v>0</v>
      </c>
      <c r="I36" s="13">
        <f>COUNTIF(Actions!I6:I155,"Low")</f>
        <v>0</v>
      </c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</row>
    <row r="37" spans="1:52" ht="13.05" customHeight="1" outlineLevel="1" x14ac:dyDescent="0.3">
      <c r="A37" s="13"/>
      <c r="B37" s="13" t="s">
        <v>89</v>
      </c>
      <c r="C37" s="13">
        <f>COUNTIF(Risks!R6:R151,"Resolved")+COUNTIF(Actions!M6:M155,"Resolved")+COUNTIF(Issues!O6:O155,"Resolved")</f>
        <v>2</v>
      </c>
      <c r="D37" s="13"/>
      <c r="E37" s="13" t="s">
        <v>90</v>
      </c>
      <c r="F37" s="13">
        <f>COUNTIF(Issues!I6:I155,"Critical")</f>
        <v>0</v>
      </c>
      <c r="G37" s="13">
        <f>COUNTIF(Issues!I6:I155,"High")</f>
        <v>0</v>
      </c>
      <c r="H37" s="13">
        <f>COUNTIF(Issues!I6:I155,"Medium")</f>
        <v>0</v>
      </c>
      <c r="I37" s="13">
        <f>COUNTIF(Issues!I6:I155,"Low")</f>
        <v>0</v>
      </c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</row>
    <row r="38" spans="1:52" ht="13.05" customHeight="1" outlineLevel="1" x14ac:dyDescent="0.3">
      <c r="A38" s="13"/>
      <c r="B38" s="13" t="s">
        <v>91</v>
      </c>
      <c r="C38" s="13">
        <f>COUNTIF(Risks!R6:R151,"On Hold")+COUNTIF(Actions!M6:M155,"On Hold")+COUNTIF(Issues!O6:O155,"On Hold")</f>
        <v>0</v>
      </c>
      <c r="D38" s="13"/>
      <c r="E38" s="13" t="s">
        <v>92</v>
      </c>
      <c r="F38" s="13">
        <v>0</v>
      </c>
      <c r="G38" s="13">
        <v>0</v>
      </c>
      <c r="H38" s="13">
        <v>0</v>
      </c>
      <c r="I38" s="13">
        <v>0</v>
      </c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</row>
    <row r="39" spans="1:52" ht="13.05" customHeight="1" outlineLevel="1" x14ac:dyDescent="0.3">
      <c r="A39" s="13"/>
      <c r="B39" s="13" t="s">
        <v>93</v>
      </c>
      <c r="C39" s="13">
        <f>COUNTIF(Risks!R6:R151,"Cancelled")+COUNTIF(Actions!M6:M155,"Cancelled")+COUNTIF(Issues!O6:O155,"Cancelled")</f>
        <v>0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</row>
    <row r="40" spans="1:52" ht="13.05" customHeight="1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</row>
    <row r="41" spans="1:52" ht="13.05" customHeight="1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</row>
    <row r="42" spans="1:52" ht="13.05" customHeight="1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</row>
    <row r="43" spans="1:52" ht="13.05" customHeight="1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</row>
    <row r="44" spans="1:52" ht="13.05" customHeight="1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</row>
    <row r="45" spans="1:52" ht="13.05" customHeight="1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</row>
    <row r="46" spans="1:52" ht="13.05" customHeight="1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</row>
    <row r="47" spans="1:52" ht="13.05" customHeight="1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</row>
    <row r="48" spans="1:52" ht="13.05" customHeight="1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</row>
    <row r="49" spans="1:52" ht="13.05" customHeight="1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</row>
    <row r="50" spans="1:52" ht="13.05" customHeight="1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</row>
    <row r="51" spans="1:52" ht="13.05" customHeight="1" x14ac:dyDescent="0.3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</row>
    <row r="52" spans="1:52" ht="13.05" customHeight="1" x14ac:dyDescent="0.3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</row>
    <row r="53" spans="1:52" ht="13.05" customHeight="1" x14ac:dyDescent="0.3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</row>
    <row r="54" spans="1:52" ht="13.05" customHeight="1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</row>
    <row r="55" spans="1:52" ht="13.05" customHeight="1" x14ac:dyDescent="0.3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</row>
    <row r="56" spans="1:52" ht="13.05" customHeight="1" x14ac:dyDescent="0.3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</row>
    <row r="57" spans="1:52" ht="13.05" customHeight="1" x14ac:dyDescent="0.3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</row>
    <row r="58" spans="1:52" ht="13.05" customHeight="1" x14ac:dyDescent="0.3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</row>
    <row r="59" spans="1:52" ht="13.05" customHeight="1" x14ac:dyDescent="0.3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</row>
    <row r="60" spans="1:52" ht="13.05" customHeight="1" x14ac:dyDescent="0.3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</row>
    <row r="61" spans="1:52" ht="13.05" customHeight="1" x14ac:dyDescent="0.3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</row>
    <row r="62" spans="1:52" ht="13.05" customHeight="1" x14ac:dyDescent="0.3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</row>
    <row r="63" spans="1:52" ht="13.05" customHeight="1" x14ac:dyDescent="0.3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</row>
    <row r="64" spans="1:52" ht="13.05" customHeight="1" x14ac:dyDescent="0.3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</row>
    <row r="65" spans="1:52" ht="13.05" customHeight="1" x14ac:dyDescent="0.3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</row>
    <row r="66" spans="1:52" ht="13.05" customHeight="1" x14ac:dyDescent="0.3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</row>
    <row r="67" spans="1:52" ht="13.05" customHeight="1" x14ac:dyDescent="0.3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</row>
    <row r="68" spans="1:52" ht="13.05" customHeight="1" x14ac:dyDescent="0.3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</row>
    <row r="69" spans="1:52" ht="13.05" customHeight="1" x14ac:dyDescent="0.3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</row>
    <row r="70" spans="1:52" ht="13.05" customHeight="1" x14ac:dyDescent="0.3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</row>
    <row r="71" spans="1:52" ht="13.05" customHeight="1" x14ac:dyDescent="0.3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</row>
    <row r="72" spans="1:52" ht="13.05" customHeight="1" x14ac:dyDescent="0.3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</row>
    <row r="73" spans="1:52" ht="13.05" customHeight="1" x14ac:dyDescent="0.3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</row>
    <row r="74" spans="1:52" ht="13.05" customHeight="1" x14ac:dyDescent="0.3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</row>
    <row r="75" spans="1:52" ht="13.05" customHeight="1" x14ac:dyDescent="0.3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</row>
    <row r="76" spans="1:52" ht="13.05" customHeight="1" x14ac:dyDescent="0.3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</row>
    <row r="77" spans="1:52" ht="13.05" customHeight="1" x14ac:dyDescent="0.3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</row>
    <row r="78" spans="1:52" ht="13.05" customHeight="1" x14ac:dyDescent="0.3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</row>
    <row r="79" spans="1:52" ht="13.05" customHeight="1" x14ac:dyDescent="0.3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</row>
    <row r="80" spans="1:52" ht="13.05" customHeight="1" x14ac:dyDescent="0.3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</row>
    <row r="81" spans="1:52" ht="13.05" customHeight="1" x14ac:dyDescent="0.3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</row>
    <row r="82" spans="1:52" ht="13.05" customHeight="1" x14ac:dyDescent="0.3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</row>
    <row r="83" spans="1:52" ht="13.05" customHeight="1" x14ac:dyDescent="0.3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</row>
    <row r="84" spans="1:52" ht="13.05" customHeight="1" x14ac:dyDescent="0.3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</row>
    <row r="85" spans="1:52" ht="13.05" customHeight="1" x14ac:dyDescent="0.3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</row>
    <row r="86" spans="1:52" ht="13.05" customHeight="1" x14ac:dyDescent="0.3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</row>
    <row r="87" spans="1:52" ht="13.05" customHeight="1" x14ac:dyDescent="0.3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</row>
    <row r="88" spans="1:52" ht="13.05" customHeight="1" x14ac:dyDescent="0.3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</row>
    <row r="89" spans="1:52" ht="13.05" customHeight="1" x14ac:dyDescent="0.3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</row>
    <row r="90" spans="1:52" ht="13.05" customHeight="1" x14ac:dyDescent="0.3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</row>
    <row r="91" spans="1:52" ht="13.05" customHeight="1" x14ac:dyDescent="0.3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</row>
    <row r="92" spans="1:52" ht="13.05" customHeight="1" x14ac:dyDescent="0.3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</row>
    <row r="93" spans="1:52" ht="13.05" customHeight="1" x14ac:dyDescent="0.3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</row>
    <row r="94" spans="1:52" ht="13.05" customHeight="1" x14ac:dyDescent="0.3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</row>
    <row r="95" spans="1:52" ht="13.05" customHeight="1" x14ac:dyDescent="0.3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</row>
    <row r="96" spans="1:52" ht="13.05" customHeight="1" x14ac:dyDescent="0.3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</row>
    <row r="97" spans="1:52" ht="13.05" customHeight="1" x14ac:dyDescent="0.3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</row>
    <row r="98" spans="1:52" ht="13.05" customHeight="1" x14ac:dyDescent="0.3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</row>
    <row r="99" spans="1:52" ht="13.05" customHeight="1" x14ac:dyDescent="0.3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</row>
    <row r="100" spans="1:52" ht="13.05" customHeight="1" x14ac:dyDescent="0.3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</row>
    <row r="101" spans="1:52" ht="13.05" customHeight="1" x14ac:dyDescent="0.3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</row>
    <row r="102" spans="1:52" ht="13.05" customHeight="1" x14ac:dyDescent="0.3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</row>
    <row r="103" spans="1:52" ht="13.05" customHeight="1" x14ac:dyDescent="0.3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</row>
    <row r="104" spans="1:52" ht="13.05" customHeight="1" x14ac:dyDescent="0.3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</row>
    <row r="105" spans="1:52" ht="13.05" customHeight="1" x14ac:dyDescent="0.3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</row>
    <row r="106" spans="1:52" ht="13.05" customHeight="1" x14ac:dyDescent="0.3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</row>
    <row r="107" spans="1:52" ht="13.05" customHeight="1" x14ac:dyDescent="0.3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</row>
    <row r="108" spans="1:52" ht="13.05" customHeight="1" x14ac:dyDescent="0.3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</row>
    <row r="109" spans="1:52" ht="13.05" customHeight="1" x14ac:dyDescent="0.3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</row>
    <row r="110" spans="1:52" ht="13.05" customHeight="1" x14ac:dyDescent="0.3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</row>
    <row r="111" spans="1:52" ht="13.05" customHeight="1" x14ac:dyDescent="0.3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</row>
    <row r="112" spans="1:52" ht="13.05" customHeight="1" x14ac:dyDescent="0.3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</row>
    <row r="113" spans="1:52" ht="13.05" customHeight="1" x14ac:dyDescent="0.3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</row>
    <row r="114" spans="1:52" ht="13.05" customHeight="1" x14ac:dyDescent="0.3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</row>
    <row r="115" spans="1:52" ht="13.05" customHeight="1" x14ac:dyDescent="0.3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</row>
    <row r="116" spans="1:52" ht="13.05" customHeight="1" x14ac:dyDescent="0.3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</row>
    <row r="117" spans="1:52" ht="13.05" customHeight="1" x14ac:dyDescent="0.3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</row>
    <row r="118" spans="1:52" ht="13.05" customHeight="1" x14ac:dyDescent="0.3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</row>
    <row r="119" spans="1:52" ht="13.05" customHeight="1" x14ac:dyDescent="0.3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</row>
    <row r="120" spans="1:52" ht="13.05" customHeight="1" x14ac:dyDescent="0.3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</row>
    <row r="121" spans="1:52" ht="13.05" customHeight="1" x14ac:dyDescent="0.3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</row>
    <row r="122" spans="1:52" ht="13.05" customHeight="1" x14ac:dyDescent="0.3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</row>
    <row r="123" spans="1:52" ht="13.05" customHeight="1" x14ac:dyDescent="0.3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</row>
    <row r="124" spans="1:52" ht="13.05" customHeight="1" x14ac:dyDescent="0.3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</row>
    <row r="125" spans="1:52" ht="13.05" customHeight="1" x14ac:dyDescent="0.3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</row>
    <row r="126" spans="1:52" ht="13.05" customHeight="1" x14ac:dyDescent="0.3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</row>
    <row r="127" spans="1:52" ht="13.05" customHeight="1" x14ac:dyDescent="0.3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</row>
    <row r="128" spans="1:52" ht="13.05" customHeight="1" x14ac:dyDescent="0.3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</row>
    <row r="129" spans="1:52" ht="13.05" customHeight="1" x14ac:dyDescent="0.3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</row>
    <row r="130" spans="1:52" ht="13.05" customHeight="1" x14ac:dyDescent="0.3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</row>
    <row r="131" spans="1:52" ht="13.05" customHeight="1" x14ac:dyDescent="0.3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</row>
    <row r="132" spans="1:52" ht="13.05" customHeight="1" x14ac:dyDescent="0.3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</row>
    <row r="133" spans="1:52" ht="13.05" customHeight="1" x14ac:dyDescent="0.3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</row>
    <row r="134" spans="1:52" ht="13.05" customHeight="1" x14ac:dyDescent="0.3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</row>
    <row r="135" spans="1:52" ht="13.05" customHeight="1" x14ac:dyDescent="0.3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</row>
    <row r="136" spans="1:52" ht="13.05" customHeigh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</row>
    <row r="137" spans="1:52" ht="13.05" customHeight="1" x14ac:dyDescent="0.3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</row>
    <row r="138" spans="1:52" ht="13.05" customHeigh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</row>
    <row r="139" spans="1:52" ht="13.05" customHeigh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</row>
    <row r="140" spans="1:52" ht="13.05" customHeight="1" x14ac:dyDescent="0.3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</row>
    <row r="141" spans="1:52" ht="13.05" customHeight="1" x14ac:dyDescent="0.3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</row>
    <row r="142" spans="1:52" ht="13.05" customHeight="1" x14ac:dyDescent="0.3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</row>
    <row r="143" spans="1:52" ht="13.05" customHeigh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</row>
    <row r="144" spans="1:52" ht="13.05" customHeight="1" x14ac:dyDescent="0.3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</row>
    <row r="145" spans="1:52" ht="13.05" customHeight="1" x14ac:dyDescent="0.3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</row>
    <row r="146" spans="1:52" ht="13.05" customHeight="1" x14ac:dyDescent="0.3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</row>
    <row r="147" spans="1:52" ht="13.05" customHeigh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</row>
    <row r="148" spans="1:52" ht="13.05" customHeight="1" x14ac:dyDescent="0.3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</row>
    <row r="149" spans="1:52" ht="13.05" customHeight="1" x14ac:dyDescent="0.3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</row>
    <row r="150" spans="1:52" ht="13.05" customHeight="1" x14ac:dyDescent="0.3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</row>
    <row r="151" spans="1:52" ht="13.05" customHeigh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</row>
    <row r="152" spans="1:52" ht="13.05" customHeight="1" x14ac:dyDescent="0.3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</row>
    <row r="153" spans="1:52" ht="13.05" customHeight="1" x14ac:dyDescent="0.3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</row>
    <row r="154" spans="1:52" ht="13.05" customHeight="1" x14ac:dyDescent="0.3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</row>
    <row r="155" spans="1:52" ht="13.05" customHeight="1" x14ac:dyDescent="0.3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</row>
    <row r="156" spans="1:52" ht="13.05" customHeight="1" x14ac:dyDescent="0.3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</row>
    <row r="157" spans="1:52" ht="13.05" customHeight="1" x14ac:dyDescent="0.3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</row>
    <row r="158" spans="1:52" ht="13.05" customHeight="1" x14ac:dyDescent="0.3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</row>
    <row r="159" spans="1:52" ht="13.05" customHeight="1" x14ac:dyDescent="0.3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</row>
    <row r="160" spans="1:52" ht="13.05" customHeight="1" x14ac:dyDescent="0.3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</row>
    <row r="161" spans="1:52" ht="13.05" customHeight="1" x14ac:dyDescent="0.3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</row>
    <row r="162" spans="1:52" ht="13.05" customHeight="1" x14ac:dyDescent="0.3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</row>
    <row r="163" spans="1:52" ht="13.05" customHeight="1" x14ac:dyDescent="0.3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</row>
    <row r="164" spans="1:52" ht="13.05" customHeight="1" x14ac:dyDescent="0.3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</row>
    <row r="165" spans="1:52" ht="13.05" customHeight="1" x14ac:dyDescent="0.3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</row>
    <row r="166" spans="1:52" ht="13.05" customHeight="1" x14ac:dyDescent="0.3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</row>
    <row r="167" spans="1:52" ht="13.05" customHeight="1" x14ac:dyDescent="0.3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</row>
    <row r="168" spans="1:52" ht="13.05" customHeight="1" x14ac:dyDescent="0.3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</row>
    <row r="169" spans="1:52" ht="13.05" customHeight="1" x14ac:dyDescent="0.3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</row>
    <row r="170" spans="1:52" ht="13.05" customHeight="1" x14ac:dyDescent="0.3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</row>
    <row r="171" spans="1:52" ht="13.05" customHeight="1" x14ac:dyDescent="0.3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</row>
    <row r="172" spans="1:52" ht="13.05" customHeight="1" x14ac:dyDescent="0.3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</row>
    <row r="173" spans="1:52" ht="13.05" customHeight="1" x14ac:dyDescent="0.3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</row>
    <row r="174" spans="1:52" ht="13.05" customHeight="1" x14ac:dyDescent="0.3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</row>
    <row r="175" spans="1:52" ht="13.05" customHeight="1" x14ac:dyDescent="0.3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</row>
    <row r="176" spans="1:52" ht="13.05" customHeight="1" x14ac:dyDescent="0.3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</row>
    <row r="177" spans="1:52" ht="13.05" customHeight="1" x14ac:dyDescent="0.3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</row>
    <row r="178" spans="1:52" ht="13.05" customHeight="1" x14ac:dyDescent="0.3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</row>
    <row r="179" spans="1:52" ht="13.05" customHeight="1" x14ac:dyDescent="0.3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</row>
    <row r="180" spans="1:52" ht="13.05" customHeight="1" x14ac:dyDescent="0.3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</row>
    <row r="181" spans="1:52" ht="13.05" customHeight="1" x14ac:dyDescent="0.3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</row>
    <row r="182" spans="1:52" ht="13.05" customHeight="1" x14ac:dyDescent="0.3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</row>
    <row r="183" spans="1:52" ht="13.05" customHeight="1" x14ac:dyDescent="0.3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</row>
    <row r="184" spans="1:52" ht="13.05" customHeight="1" x14ac:dyDescent="0.3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</row>
    <row r="185" spans="1:52" ht="13.05" customHeight="1" x14ac:dyDescent="0.3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</row>
    <row r="186" spans="1:52" ht="13.05" customHeight="1" x14ac:dyDescent="0.3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</row>
    <row r="187" spans="1:52" ht="13.05" customHeight="1" x14ac:dyDescent="0.3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</row>
    <row r="188" spans="1:52" ht="13.05" customHeight="1" x14ac:dyDescent="0.3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</row>
    <row r="189" spans="1:52" ht="13.05" customHeight="1" x14ac:dyDescent="0.3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</row>
    <row r="190" spans="1:52" ht="13.05" customHeight="1" x14ac:dyDescent="0.3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</row>
    <row r="191" spans="1:52" ht="13.05" customHeight="1" x14ac:dyDescent="0.3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</row>
    <row r="192" spans="1:52" ht="13.05" customHeight="1" x14ac:dyDescent="0.3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</row>
    <row r="193" spans="1:52" ht="13.05" customHeight="1" x14ac:dyDescent="0.3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</row>
    <row r="194" spans="1:52" ht="13.05" customHeight="1" x14ac:dyDescent="0.3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</row>
    <row r="195" spans="1:52" ht="13.05" customHeight="1" x14ac:dyDescent="0.3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</row>
    <row r="196" spans="1:52" ht="13.05" customHeight="1" x14ac:dyDescent="0.3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</row>
    <row r="197" spans="1:52" ht="13.05" customHeight="1" x14ac:dyDescent="0.3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</row>
    <row r="198" spans="1:52" ht="13.05" customHeight="1" x14ac:dyDescent="0.3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</row>
    <row r="199" spans="1:52" ht="13.05" customHeight="1" x14ac:dyDescent="0.3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</row>
    <row r="200" spans="1:52" ht="13.05" customHeigh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392B"/>
  </sheetPr>
  <dimension ref="A1:AZ196"/>
  <sheetViews>
    <sheetView showGridLines="0" tabSelected="1" workbookViewId="0">
      <pane ySplit="5" topLeftCell="A6" activePane="bottomLeft" state="frozen"/>
      <selection pane="bottomLeft" activeCell="D11" sqref="D11"/>
    </sheetView>
  </sheetViews>
  <sheetFormatPr defaultRowHeight="13.2" x14ac:dyDescent="0.25"/>
  <cols>
    <col min="1" max="1" width="1.44140625" customWidth="1"/>
    <col min="2" max="2" width="9.109375" customWidth="1"/>
    <col min="3" max="3" width="18.21875" customWidth="1"/>
    <col min="4" max="4" width="50.88671875" customWidth="1"/>
    <col min="5" max="5" width="18.21875" customWidth="1"/>
    <col min="6" max="6" width="15.44140625" style="102" customWidth="1"/>
    <col min="7" max="7" width="0.77734375" style="22" customWidth="1"/>
    <col min="8" max="8" width="14.5546875" customWidth="1"/>
    <col min="9" max="9" width="20" customWidth="1"/>
    <col min="10" max="10" width="13.6640625" customWidth="1"/>
    <col min="11" max="11" width="15.44140625" customWidth="1"/>
    <col min="12" max="12" width="0.77734375" style="22" customWidth="1"/>
    <col min="13" max="13" width="15.44140625" style="114" customWidth="1"/>
    <col min="14" max="14" width="45.44140625" customWidth="1"/>
    <col min="15" max="15" width="20" customWidth="1"/>
    <col min="16" max="16" width="0.77734375" style="22" customWidth="1"/>
    <col min="17" max="17" width="15.44140625" customWidth="1"/>
    <col min="18" max="18" width="17.21875" customWidth="1"/>
    <col min="19" max="19" width="12.77734375" customWidth="1"/>
    <col min="20" max="20" width="15.44140625" customWidth="1"/>
    <col min="21" max="21" width="36.33203125" customWidth="1"/>
  </cols>
  <sheetData>
    <row r="1" spans="1:52" ht="13.05" customHeight="1" x14ac:dyDescent="0.3">
      <c r="A1" s="14"/>
      <c r="B1" s="14"/>
      <c r="C1" s="14"/>
      <c r="D1" s="14"/>
      <c r="E1" s="14"/>
      <c r="F1" s="59"/>
      <c r="G1" s="16"/>
      <c r="H1" s="14"/>
      <c r="I1" s="14"/>
      <c r="J1" s="14"/>
      <c r="K1" s="14"/>
      <c r="L1" s="16"/>
      <c r="M1" s="110"/>
      <c r="N1" s="14"/>
      <c r="O1" s="14"/>
      <c r="P1" s="16"/>
      <c r="Q1" s="14"/>
      <c r="R1" s="14"/>
      <c r="S1" s="14"/>
      <c r="T1" s="14"/>
      <c r="U1" s="14"/>
      <c r="V1" s="14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</row>
    <row r="2" spans="1:52" ht="28.5" customHeight="1" x14ac:dyDescent="0.55000000000000004">
      <c r="A2" s="14"/>
      <c r="B2" s="15" t="s">
        <v>94</v>
      </c>
      <c r="C2" s="14"/>
      <c r="D2" s="14"/>
      <c r="E2" s="14"/>
      <c r="F2" s="59"/>
      <c r="G2" s="16"/>
      <c r="H2" s="28" t="s">
        <v>95</v>
      </c>
      <c r="I2" s="30">
        <f>COUNTIFS(R6:R10,"&lt;&gt;Resolved",R6:R10,"&lt;&gt;Cancelled",B6:B10,"&lt;&gt;")</f>
        <v>3</v>
      </c>
      <c r="J2" s="28" t="s">
        <v>81</v>
      </c>
      <c r="K2" s="30">
        <f>COUNTIFS(K6:K151,"Critical",R6:R151,"&lt;&gt;Resolved",R6:R151,"&lt;&gt;Cancelled")</f>
        <v>1</v>
      </c>
      <c r="L2" s="16"/>
      <c r="M2" s="111" t="s">
        <v>96</v>
      </c>
      <c r="N2" s="30">
        <f ca="1">COUNTIFS(Q6:Q151,"&lt;"&amp;TODAY(),R6:R151,"&lt;&gt;Resolved",R6:R151,"&lt;&gt;Cancelled",Q6:Q151,"&lt;&gt;")</f>
        <v>0</v>
      </c>
      <c r="O2" s="14"/>
      <c r="P2" s="16"/>
      <c r="Q2" s="14"/>
      <c r="R2" s="14"/>
      <c r="S2" s="14"/>
      <c r="T2" s="14"/>
      <c r="U2" s="14"/>
      <c r="V2" s="14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</row>
    <row r="3" spans="1:52" ht="13.05" customHeight="1" x14ac:dyDescent="0.3">
      <c r="A3" s="14"/>
      <c r="B3" s="14"/>
      <c r="C3" s="14"/>
      <c r="D3" s="14"/>
      <c r="E3" s="14"/>
      <c r="F3" s="59"/>
      <c r="G3" s="16"/>
      <c r="H3" s="14"/>
      <c r="I3" s="14"/>
      <c r="J3" s="14"/>
      <c r="K3" s="14"/>
      <c r="L3" s="16"/>
      <c r="M3" s="110"/>
      <c r="N3" s="14"/>
      <c r="O3" s="14"/>
      <c r="P3" s="16"/>
      <c r="Q3" s="14"/>
      <c r="R3" s="14"/>
      <c r="S3" s="14"/>
      <c r="T3" s="14"/>
      <c r="U3" s="14"/>
      <c r="V3" s="14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</row>
    <row r="4" spans="1:52" ht="13.05" customHeight="1" x14ac:dyDescent="0.3">
      <c r="A4" s="13"/>
      <c r="D4" s="13"/>
      <c r="E4" s="13"/>
      <c r="F4" s="38"/>
      <c r="G4" s="16"/>
      <c r="H4" s="25" t="s">
        <v>97</v>
      </c>
      <c r="I4" s="13"/>
      <c r="J4" s="13"/>
      <c r="K4" s="13"/>
      <c r="L4" s="16"/>
      <c r="M4" s="112" t="s">
        <v>98</v>
      </c>
      <c r="N4" s="13"/>
      <c r="O4" s="13"/>
      <c r="P4" s="16"/>
      <c r="Q4" s="25" t="s">
        <v>99</v>
      </c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</row>
    <row r="5" spans="1:52" ht="36" customHeight="1" x14ac:dyDescent="0.3">
      <c r="A5" s="13"/>
      <c r="B5" s="24" t="s">
        <v>71</v>
      </c>
      <c r="C5" s="24" t="s">
        <v>100</v>
      </c>
      <c r="D5" s="24" t="s">
        <v>101</v>
      </c>
      <c r="E5" s="24" t="s">
        <v>102</v>
      </c>
      <c r="F5" s="24" t="s">
        <v>103</v>
      </c>
      <c r="G5" s="24"/>
      <c r="H5" s="24" t="s">
        <v>104</v>
      </c>
      <c r="I5" s="24" t="s">
        <v>105</v>
      </c>
      <c r="J5" s="24" t="s">
        <v>106</v>
      </c>
      <c r="K5" s="24" t="s">
        <v>73</v>
      </c>
      <c r="L5" s="24"/>
      <c r="M5" s="24" t="s">
        <v>107</v>
      </c>
      <c r="N5" s="24" t="s">
        <v>108</v>
      </c>
      <c r="O5" s="24" t="s">
        <v>74</v>
      </c>
      <c r="P5" s="24"/>
      <c r="Q5" s="24" t="s">
        <v>109</v>
      </c>
      <c r="R5" s="24" t="s">
        <v>110</v>
      </c>
      <c r="S5" s="24" t="s">
        <v>75</v>
      </c>
      <c r="T5" s="24" t="s">
        <v>111</v>
      </c>
      <c r="U5" s="24" t="s">
        <v>112</v>
      </c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</row>
    <row r="6" spans="1:52" ht="28.05" customHeight="1" x14ac:dyDescent="0.3">
      <c r="A6" s="13"/>
      <c r="B6" s="34" t="str">
        <f>IF(C6="","","R"&amp;TEXT(COUNTA($C$6:C6),"000"))</f>
        <v>R001</v>
      </c>
      <c r="C6" s="31" t="s">
        <v>113</v>
      </c>
      <c r="D6" s="31" t="s">
        <v>256</v>
      </c>
      <c r="E6" s="31" t="s">
        <v>261</v>
      </c>
      <c r="F6" s="40">
        <v>46153</v>
      </c>
      <c r="G6" s="32"/>
      <c r="H6" s="36">
        <v>0.7</v>
      </c>
      <c r="I6" s="38">
        <v>4</v>
      </c>
      <c r="J6" s="55">
        <f>IF(OR(H6="",I6=""),"",MATCH(H6,{0.1,0.3,0.5,0.7,0.9},0)*I6)</f>
        <v>16</v>
      </c>
      <c r="K6" s="43" t="str">
        <f t="shared" ref="K6:K21" si="0">IF(J6="","",IF(J6&gt;=16,"Critical",IF(J6&gt;=10,"High",IF(J6&gt;=5,"Medium","Low"))))</f>
        <v>Critical</v>
      </c>
      <c r="L6" s="32"/>
      <c r="M6" s="38" t="s">
        <v>114</v>
      </c>
      <c r="N6" s="31" t="s">
        <v>262</v>
      </c>
      <c r="O6" s="31" t="s">
        <v>263</v>
      </c>
      <c r="P6" s="32"/>
      <c r="Q6" s="51"/>
      <c r="R6" s="48" t="s">
        <v>87</v>
      </c>
      <c r="S6" s="53">
        <f t="shared" ref="S6:S21" ca="1" si="1">IF(F6="","",TODAY()-F6)</f>
        <v>16</v>
      </c>
      <c r="T6" s="38"/>
      <c r="U6" s="31" t="s">
        <v>272</v>
      </c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</row>
    <row r="7" spans="1:52" ht="28.05" customHeight="1" x14ac:dyDescent="0.3">
      <c r="A7" s="13"/>
      <c r="B7" s="34" t="str">
        <f>IF(C7="","","R"&amp;TEXT(COUNTA($C$6:C7),"000"))</f>
        <v>R002</v>
      </c>
      <c r="C7" s="33" t="s">
        <v>115</v>
      </c>
      <c r="D7" s="33" t="s">
        <v>257</v>
      </c>
      <c r="E7" s="33" t="s">
        <v>261</v>
      </c>
      <c r="F7" s="41">
        <v>46153</v>
      </c>
      <c r="G7" s="33"/>
      <c r="H7" s="37">
        <v>0.7</v>
      </c>
      <c r="I7" s="39">
        <v>3</v>
      </c>
      <c r="J7" s="56">
        <f>IF(OR(H7="",I7=""),"",MATCH(H7,{0.1,0.3,0.5,0.7,0.9},0)*I7)</f>
        <v>12</v>
      </c>
      <c r="K7" s="45" t="str">
        <f t="shared" si="0"/>
        <v>High</v>
      </c>
      <c r="L7" s="33"/>
      <c r="M7" s="39" t="s">
        <v>114</v>
      </c>
      <c r="N7" s="33" t="s">
        <v>264</v>
      </c>
      <c r="O7" s="33" t="s">
        <v>265</v>
      </c>
      <c r="P7" s="33"/>
      <c r="Q7" s="52"/>
      <c r="R7" s="49" t="s">
        <v>87</v>
      </c>
      <c r="S7" s="54">
        <f t="shared" ca="1" si="1"/>
        <v>16</v>
      </c>
      <c r="T7" s="39"/>
      <c r="U7" s="33" t="s">
        <v>273</v>
      </c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</row>
    <row r="8" spans="1:52" ht="28.05" customHeight="1" x14ac:dyDescent="0.3">
      <c r="A8" s="13"/>
      <c r="B8" s="34" t="str">
        <f>IF(C8="","","R"&amp;TEXT(COUNTA($C$6:C8),"000"))</f>
        <v>R003</v>
      </c>
      <c r="C8" s="31" t="s">
        <v>118</v>
      </c>
      <c r="D8" s="31" t="s">
        <v>258</v>
      </c>
      <c r="E8" s="31" t="s">
        <v>261</v>
      </c>
      <c r="F8" s="40">
        <v>46153</v>
      </c>
      <c r="G8" s="32"/>
      <c r="H8" s="36">
        <v>0.3</v>
      </c>
      <c r="I8" s="38">
        <v>3</v>
      </c>
      <c r="J8" s="57">
        <f>IF(OR(H8="",I8=""),"",MATCH(H8,{0.1,0.3,0.5,0.7,0.9},0)*I8)</f>
        <v>6</v>
      </c>
      <c r="K8" s="46" t="str">
        <f t="shared" si="0"/>
        <v>Medium</v>
      </c>
      <c r="L8" s="32"/>
      <c r="M8" s="38" t="s">
        <v>114</v>
      </c>
      <c r="N8" s="31" t="s">
        <v>266</v>
      </c>
      <c r="O8" s="31" t="s">
        <v>267</v>
      </c>
      <c r="P8" s="32"/>
      <c r="Q8" s="51"/>
      <c r="R8" s="48" t="s">
        <v>89</v>
      </c>
      <c r="S8" s="53">
        <f t="shared" ca="1" si="1"/>
        <v>16</v>
      </c>
      <c r="T8" s="38"/>
      <c r="U8" s="31" t="s">
        <v>274</v>
      </c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</row>
    <row r="9" spans="1:52" ht="28.05" customHeight="1" x14ac:dyDescent="0.3">
      <c r="A9" s="13"/>
      <c r="B9" s="34" t="str">
        <f>IF(C9="","","R"&amp;TEXT(COUNTA($C$6:C9),"000"))</f>
        <v>R004</v>
      </c>
      <c r="C9" s="33" t="s">
        <v>116</v>
      </c>
      <c r="D9" s="33" t="s">
        <v>259</v>
      </c>
      <c r="E9" s="33" t="s">
        <v>261</v>
      </c>
      <c r="F9" s="41">
        <v>46153</v>
      </c>
      <c r="G9" s="33"/>
      <c r="H9" s="37">
        <v>0.3</v>
      </c>
      <c r="I9" s="39">
        <v>2</v>
      </c>
      <c r="J9" s="55">
        <f>IF(OR(H9="",I9=""),"",MATCH(H9,{0.1,0.3,0.5,0.7,0.9},0)*I9)</f>
        <v>4</v>
      </c>
      <c r="K9" s="43" t="str">
        <f t="shared" si="0"/>
        <v>Low</v>
      </c>
      <c r="L9" s="33"/>
      <c r="M9" s="39" t="s">
        <v>114</v>
      </c>
      <c r="N9" s="33" t="s">
        <v>268</v>
      </c>
      <c r="O9" s="33" t="s">
        <v>269</v>
      </c>
      <c r="P9" s="33"/>
      <c r="Q9" s="52"/>
      <c r="R9" s="48" t="s">
        <v>89</v>
      </c>
      <c r="S9" s="54">
        <f t="shared" ca="1" si="1"/>
        <v>16</v>
      </c>
      <c r="T9" s="39"/>
      <c r="U9" s="33" t="s">
        <v>275</v>
      </c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</row>
    <row r="10" spans="1:52" ht="28.05" customHeight="1" x14ac:dyDescent="0.3">
      <c r="A10" s="13"/>
      <c r="B10" s="34" t="str">
        <f>IF(C10="","","R"&amp;TEXT(COUNTA($C$6:C10),"000"))</f>
        <v>R005</v>
      </c>
      <c r="C10" s="31" t="s">
        <v>113</v>
      </c>
      <c r="D10" s="31" t="s">
        <v>260</v>
      </c>
      <c r="E10" s="31" t="s">
        <v>261</v>
      </c>
      <c r="F10" s="40">
        <v>46153</v>
      </c>
      <c r="G10" s="32"/>
      <c r="H10" s="36">
        <v>0.3</v>
      </c>
      <c r="I10" s="38">
        <v>2</v>
      </c>
      <c r="J10" s="56">
        <f>IF(OR(H10="",I10=""),"",MATCH(H10,{0.1,0.3,0.5,0.7,0.9},0)*I10)</f>
        <v>4</v>
      </c>
      <c r="K10" s="45" t="str">
        <f t="shared" si="0"/>
        <v>Low</v>
      </c>
      <c r="L10" s="32"/>
      <c r="M10" s="38" t="s">
        <v>114</v>
      </c>
      <c r="N10" s="31" t="s">
        <v>270</v>
      </c>
      <c r="O10" s="31" t="s">
        <v>271</v>
      </c>
      <c r="P10" s="32"/>
      <c r="Q10" s="40"/>
      <c r="R10" s="49" t="s">
        <v>87</v>
      </c>
      <c r="S10" s="53">
        <f t="shared" ca="1" si="1"/>
        <v>16</v>
      </c>
      <c r="T10" s="38"/>
      <c r="U10" s="31" t="s">
        <v>276</v>
      </c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</row>
    <row r="11" spans="1:52" ht="28.05" customHeight="1" x14ac:dyDescent="0.3">
      <c r="A11" s="13"/>
      <c r="B11" s="34" t="str">
        <f>IF(C11="","","R"&amp;TEXT(COUNTA($C$6:C11),"000"))</f>
        <v/>
      </c>
      <c r="C11" s="33"/>
      <c r="D11" s="33"/>
      <c r="E11" s="33"/>
      <c r="F11" s="41"/>
      <c r="G11" s="33"/>
      <c r="H11" s="37"/>
      <c r="I11" s="39"/>
      <c r="J11" s="57" t="str">
        <f>IF(OR(H11="",I11=""),"",MATCH(H11,{0.1,0.3,0.5,0.7,0.9},0)*I11)</f>
        <v/>
      </c>
      <c r="K11" s="46" t="str">
        <f t="shared" si="0"/>
        <v/>
      </c>
      <c r="L11" s="33"/>
      <c r="M11" s="39"/>
      <c r="N11" s="33"/>
      <c r="O11" s="33"/>
      <c r="P11" s="33"/>
      <c r="Q11" s="41"/>
      <c r="R11" s="47"/>
      <c r="S11" s="54" t="str">
        <f t="shared" ca="1" si="1"/>
        <v/>
      </c>
      <c r="T11" s="39"/>
      <c r="U11" s="3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52" ht="28.05" customHeight="1" x14ac:dyDescent="0.3">
      <c r="A12" s="13"/>
      <c r="B12" s="34" t="str">
        <f>IF(C12="","","R"&amp;TEXT(COUNTA($C$6:C12),"000"))</f>
        <v/>
      </c>
      <c r="C12" s="31"/>
      <c r="D12" s="31"/>
      <c r="E12" s="31"/>
      <c r="F12" s="40"/>
      <c r="G12" s="32"/>
      <c r="H12" s="36"/>
      <c r="I12" s="38"/>
      <c r="J12" s="57" t="str">
        <f>IF(OR(H12="",I12=""),"",MATCH(H12,{0.1,0.3,0.5,0.7,0.9},0)*I12)</f>
        <v/>
      </c>
      <c r="K12" s="46" t="str">
        <f t="shared" si="0"/>
        <v/>
      </c>
      <c r="L12" s="32"/>
      <c r="M12" s="38"/>
      <c r="N12" s="31"/>
      <c r="O12" s="31"/>
      <c r="P12" s="32"/>
      <c r="Q12" s="40"/>
      <c r="R12" s="50"/>
      <c r="S12" s="53" t="str">
        <f t="shared" ca="1" si="1"/>
        <v/>
      </c>
      <c r="T12" s="38"/>
      <c r="U12" s="31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</row>
    <row r="13" spans="1:52" ht="28.05" customHeight="1" x14ac:dyDescent="0.3">
      <c r="A13" s="13"/>
      <c r="B13" s="34" t="str">
        <f>IF(C13="","","R"&amp;TEXT(COUNTA($C$6:C13),"000"))</f>
        <v/>
      </c>
      <c r="C13" s="33"/>
      <c r="D13" s="33"/>
      <c r="E13" s="33"/>
      <c r="F13" s="41"/>
      <c r="G13" s="33"/>
      <c r="H13" s="37"/>
      <c r="I13" s="39"/>
      <c r="J13" s="57" t="str">
        <f>IF(OR(H13="",I13=""),"",MATCH(H13,{0.1,0.3,0.5,0.7,0.9},0)*I13)</f>
        <v/>
      </c>
      <c r="K13" s="46" t="str">
        <f t="shared" si="0"/>
        <v/>
      </c>
      <c r="L13" s="33"/>
      <c r="M13" s="39"/>
      <c r="N13" s="33"/>
      <c r="O13" s="33"/>
      <c r="P13" s="33"/>
      <c r="Q13" s="41"/>
      <c r="R13" s="48"/>
      <c r="S13" s="54" t="str">
        <f t="shared" ca="1" si="1"/>
        <v/>
      </c>
      <c r="T13" s="39"/>
      <c r="U13" s="3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</row>
    <row r="14" spans="1:52" ht="28.05" customHeight="1" x14ac:dyDescent="0.3">
      <c r="A14" s="13"/>
      <c r="B14" s="34" t="str">
        <f>IF(C14="","","R"&amp;TEXT(COUNTA($C$6:C14),"000"))</f>
        <v/>
      </c>
      <c r="C14" s="31"/>
      <c r="D14" s="31"/>
      <c r="E14" s="31"/>
      <c r="F14" s="40"/>
      <c r="G14" s="32"/>
      <c r="H14" s="36"/>
      <c r="I14" s="38"/>
      <c r="J14" s="56" t="str">
        <f>IF(OR(H14="",I14=""),"",MATCH(H14,{0.1,0.3,0.5,0.7,0.9},0)*I14)</f>
        <v/>
      </c>
      <c r="K14" s="45" t="str">
        <f t="shared" si="0"/>
        <v/>
      </c>
      <c r="L14" s="32"/>
      <c r="M14" s="38"/>
      <c r="N14" s="31"/>
      <c r="O14" s="31"/>
      <c r="P14" s="32"/>
      <c r="Q14" s="51"/>
      <c r="R14" s="48"/>
      <c r="S14" s="53" t="str">
        <f t="shared" ca="1" si="1"/>
        <v/>
      </c>
      <c r="T14" s="38"/>
      <c r="U14" s="31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</row>
    <row r="15" spans="1:52" ht="28.05" customHeight="1" x14ac:dyDescent="0.3">
      <c r="A15" s="13"/>
      <c r="B15" s="34" t="str">
        <f>IF(C15="","","R"&amp;TEXT(COUNTA($C$6:C15),"000"))</f>
        <v/>
      </c>
      <c r="C15" s="33"/>
      <c r="D15" s="33"/>
      <c r="E15" s="33"/>
      <c r="F15" s="41"/>
      <c r="G15" s="33"/>
      <c r="H15" s="37"/>
      <c r="I15" s="39"/>
      <c r="J15" s="58" t="str">
        <f>IF(OR(H15="",I15=""),"",MATCH(H15,{0.1,0.3,0.5,0.7,0.9},0)*I15)</f>
        <v/>
      </c>
      <c r="K15" s="47" t="str">
        <f t="shared" si="0"/>
        <v/>
      </c>
      <c r="L15" s="33"/>
      <c r="M15" s="39"/>
      <c r="N15" s="33"/>
      <c r="O15" s="33"/>
      <c r="P15" s="33"/>
      <c r="Q15" s="41"/>
      <c r="R15" s="47"/>
      <c r="S15" s="54" t="str">
        <f t="shared" ca="1" si="1"/>
        <v/>
      </c>
      <c r="T15" s="39"/>
      <c r="U15" s="3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</row>
    <row r="16" spans="1:52" ht="28.05" customHeight="1" x14ac:dyDescent="0.3">
      <c r="A16" s="13"/>
      <c r="B16" s="34" t="str">
        <f>IF(C16="","","R"&amp;TEXT(COUNTA($C$6:C16),"000"))</f>
        <v/>
      </c>
      <c r="C16" s="31"/>
      <c r="D16" s="31"/>
      <c r="E16" s="31"/>
      <c r="F16" s="40"/>
      <c r="G16" s="32"/>
      <c r="H16" s="36"/>
      <c r="I16" s="38"/>
      <c r="J16" s="56" t="str">
        <f>IF(OR(H16="",I16=""),"",MATCH(H16,{0.1,0.3,0.5,0.7,0.9},0)*I16)</f>
        <v/>
      </c>
      <c r="K16" s="45" t="str">
        <f t="shared" si="0"/>
        <v/>
      </c>
      <c r="L16" s="32"/>
      <c r="M16" s="38"/>
      <c r="N16" s="31"/>
      <c r="O16" s="31"/>
      <c r="P16" s="32"/>
      <c r="Q16" s="40"/>
      <c r="R16" s="49"/>
      <c r="S16" s="53" t="str">
        <f t="shared" ca="1" si="1"/>
        <v/>
      </c>
      <c r="T16" s="38"/>
      <c r="U16" s="31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</row>
    <row r="17" spans="1:52" ht="28.05" customHeight="1" x14ac:dyDescent="0.3">
      <c r="A17" s="13"/>
      <c r="B17" s="34" t="str">
        <f>IF(C17="","","R"&amp;TEXT(COUNTA($C$6:C17),"000"))</f>
        <v/>
      </c>
      <c r="C17" s="33"/>
      <c r="D17" s="33"/>
      <c r="E17" s="33"/>
      <c r="F17" s="41"/>
      <c r="G17" s="33"/>
      <c r="H17" s="37"/>
      <c r="I17" s="39"/>
      <c r="J17" s="57" t="str">
        <f>IF(OR(H17="",I17=""),"",MATCH(H17,{0.1,0.3,0.5,0.7,0.9},0)*I17)</f>
        <v/>
      </c>
      <c r="K17" s="46" t="str">
        <f t="shared" si="0"/>
        <v/>
      </c>
      <c r="L17" s="33"/>
      <c r="M17" s="39"/>
      <c r="N17" s="33"/>
      <c r="O17" s="33"/>
      <c r="P17" s="33"/>
      <c r="Q17" s="41"/>
      <c r="R17" s="48"/>
      <c r="S17" s="54" t="str">
        <f t="shared" ca="1" si="1"/>
        <v/>
      </c>
      <c r="T17" s="39"/>
      <c r="U17" s="3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</row>
    <row r="18" spans="1:52" ht="28.05" customHeight="1" x14ac:dyDescent="0.3">
      <c r="A18" s="13"/>
      <c r="B18" s="34" t="str">
        <f>IF(C18="","","R"&amp;TEXT(COUNTA($C$6:C18),"000"))</f>
        <v/>
      </c>
      <c r="C18" s="31"/>
      <c r="D18" s="31"/>
      <c r="E18" s="31"/>
      <c r="F18" s="40"/>
      <c r="G18" s="32"/>
      <c r="H18" s="36"/>
      <c r="I18" s="38"/>
      <c r="J18" s="56" t="str">
        <f>IF(OR(H18="",I18=""),"",MATCH(H18,{0.1,0.3,0.5,0.7,0.9},0)*I18)</f>
        <v/>
      </c>
      <c r="K18" s="45" t="str">
        <f t="shared" si="0"/>
        <v/>
      </c>
      <c r="L18" s="32"/>
      <c r="M18" s="38"/>
      <c r="N18" s="31"/>
      <c r="O18" s="31"/>
      <c r="P18" s="32"/>
      <c r="Q18" s="40"/>
      <c r="R18" s="49"/>
      <c r="S18" s="53" t="str">
        <f t="shared" ca="1" si="1"/>
        <v/>
      </c>
      <c r="T18" s="38"/>
      <c r="U18" s="31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</row>
    <row r="19" spans="1:52" ht="28.05" customHeight="1" x14ac:dyDescent="0.3">
      <c r="A19" s="13"/>
      <c r="B19" s="34" t="str">
        <f>IF(C19="","","R"&amp;TEXT(COUNTA($C$6:C19),"000"))</f>
        <v/>
      </c>
      <c r="C19" s="33"/>
      <c r="D19" s="33"/>
      <c r="E19" s="33"/>
      <c r="F19" s="41"/>
      <c r="G19" s="33"/>
      <c r="H19" s="37"/>
      <c r="I19" s="39"/>
      <c r="J19" s="57" t="str">
        <f>IF(OR(H19="",I19=""),"",MATCH(H19,{0.1,0.3,0.5,0.7,0.9},0)*I19)</f>
        <v/>
      </c>
      <c r="K19" s="46" t="str">
        <f t="shared" si="0"/>
        <v/>
      </c>
      <c r="L19" s="33"/>
      <c r="M19" s="39"/>
      <c r="N19" s="33"/>
      <c r="O19" s="33"/>
      <c r="P19" s="33"/>
      <c r="Q19" s="41"/>
      <c r="R19" s="48"/>
      <c r="S19" s="54" t="str">
        <f t="shared" ca="1" si="1"/>
        <v/>
      </c>
      <c r="T19" s="39"/>
      <c r="U19" s="3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</row>
    <row r="20" spans="1:52" ht="28.05" customHeight="1" x14ac:dyDescent="0.3">
      <c r="A20" s="13"/>
      <c r="B20" s="34" t="str">
        <f>IF(C20="","","R"&amp;TEXT(COUNTA($C$6:C20),"000"))</f>
        <v/>
      </c>
      <c r="C20" s="31"/>
      <c r="D20" s="31"/>
      <c r="E20" s="31"/>
      <c r="F20" s="40"/>
      <c r="G20" s="32"/>
      <c r="H20" s="36"/>
      <c r="I20" s="38"/>
      <c r="J20" s="56" t="str">
        <f>IF(OR(H20="",I20=""),"",MATCH(H20,{0.1,0.3,0.5,0.7,0.9},0)*I20)</f>
        <v/>
      </c>
      <c r="K20" s="45" t="str">
        <f t="shared" si="0"/>
        <v/>
      </c>
      <c r="L20" s="32"/>
      <c r="M20" s="38"/>
      <c r="N20" s="31"/>
      <c r="O20" s="31"/>
      <c r="P20" s="32"/>
      <c r="Q20" s="40"/>
      <c r="R20" s="49"/>
      <c r="S20" s="53" t="str">
        <f t="shared" ca="1" si="1"/>
        <v/>
      </c>
      <c r="T20" s="38"/>
      <c r="U20" s="31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</row>
    <row r="21" spans="1:52" ht="28.05" customHeight="1" x14ac:dyDescent="0.3">
      <c r="A21" s="13"/>
      <c r="B21" s="34" t="str">
        <f>IF(C21="","","R"&amp;TEXT(COUNTA($C$6:C21),"000"))</f>
        <v/>
      </c>
      <c r="C21" s="33"/>
      <c r="D21" s="33"/>
      <c r="E21" s="33"/>
      <c r="F21" s="41"/>
      <c r="G21" s="33"/>
      <c r="H21" s="37"/>
      <c r="I21" s="39"/>
      <c r="J21" s="57" t="str">
        <f>IF(OR(H21="",I21=""),"",MATCH(H21,{0.1,0.3,0.5,0.7,0.9},0)*I21)</f>
        <v/>
      </c>
      <c r="K21" s="46" t="str">
        <f t="shared" si="0"/>
        <v/>
      </c>
      <c r="L21" s="33"/>
      <c r="M21" s="39"/>
      <c r="N21" s="33"/>
      <c r="O21" s="33"/>
      <c r="P21" s="33"/>
      <c r="Q21" s="41"/>
      <c r="R21" s="48"/>
      <c r="S21" s="54" t="str">
        <f t="shared" ca="1" si="1"/>
        <v/>
      </c>
      <c r="T21" s="39"/>
      <c r="U21" s="3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</row>
    <row r="22" spans="1:52" ht="13.05" customHeight="1" x14ac:dyDescent="0.3">
      <c r="A22" s="13"/>
      <c r="B22" s="34"/>
      <c r="C22" s="13"/>
      <c r="D22" s="13"/>
      <c r="E22" s="13"/>
      <c r="F22" s="38"/>
      <c r="G22" s="16"/>
      <c r="H22" s="13"/>
      <c r="I22" s="13"/>
      <c r="J22" s="13"/>
      <c r="K22" s="13"/>
      <c r="L22" s="16"/>
      <c r="M22" s="113"/>
      <c r="N22" s="13"/>
      <c r="O22" s="13"/>
      <c r="P22" s="16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</row>
    <row r="23" spans="1:52" ht="13.05" customHeight="1" x14ac:dyDescent="0.3">
      <c r="A23" s="13"/>
      <c r="B23" s="34"/>
      <c r="C23" s="13"/>
      <c r="D23" s="13"/>
      <c r="E23" s="13"/>
      <c r="F23" s="38"/>
      <c r="G23" s="16"/>
      <c r="H23" s="13"/>
      <c r="I23" s="13"/>
      <c r="J23" s="13"/>
      <c r="K23" s="13"/>
      <c r="L23" s="16"/>
      <c r="M23" s="113"/>
      <c r="N23" s="13"/>
      <c r="O23" s="13"/>
      <c r="P23" s="16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</row>
    <row r="24" spans="1:52" ht="13.05" customHeight="1" x14ac:dyDescent="0.3">
      <c r="A24" s="13"/>
      <c r="B24" s="34"/>
      <c r="C24" s="13"/>
      <c r="D24" s="13"/>
      <c r="E24" s="13"/>
      <c r="F24" s="38"/>
      <c r="G24" s="16"/>
      <c r="H24" s="13"/>
      <c r="I24" s="13"/>
      <c r="J24" s="13"/>
      <c r="K24" s="13"/>
      <c r="L24" s="16"/>
      <c r="M24" s="113"/>
      <c r="N24" s="13"/>
      <c r="O24" s="13"/>
      <c r="P24" s="16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</row>
    <row r="25" spans="1:52" ht="13.05" customHeight="1" x14ac:dyDescent="0.3">
      <c r="A25" s="13"/>
      <c r="B25" s="34"/>
      <c r="C25" s="13"/>
      <c r="D25" s="13"/>
      <c r="E25" s="13"/>
      <c r="F25" s="38"/>
      <c r="G25" s="16"/>
      <c r="H25" s="13"/>
      <c r="I25" s="13"/>
      <c r="J25" s="13"/>
      <c r="K25" s="13"/>
      <c r="L25" s="16"/>
      <c r="M25" s="113"/>
      <c r="N25" s="13"/>
      <c r="O25" s="13"/>
      <c r="P25" s="16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</row>
    <row r="26" spans="1:52" ht="13.05" customHeight="1" x14ac:dyDescent="0.3">
      <c r="A26" s="13"/>
      <c r="B26" s="34"/>
      <c r="C26" s="13"/>
      <c r="D26" s="13"/>
      <c r="E26" s="13"/>
      <c r="F26" s="38"/>
      <c r="G26" s="16"/>
      <c r="H26" s="13"/>
      <c r="I26" s="13"/>
      <c r="J26" s="13"/>
      <c r="K26" s="13"/>
      <c r="L26" s="16"/>
      <c r="M26" s="113"/>
      <c r="N26" s="13"/>
      <c r="O26" s="13"/>
      <c r="P26" s="16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</row>
    <row r="27" spans="1:52" ht="13.05" customHeight="1" x14ac:dyDescent="0.3">
      <c r="A27" s="13"/>
      <c r="B27" s="34"/>
      <c r="C27" s="13"/>
      <c r="D27" s="13"/>
      <c r="E27" s="13"/>
      <c r="F27" s="38"/>
      <c r="G27" s="16"/>
      <c r="H27" s="13"/>
      <c r="I27" s="13"/>
      <c r="J27" s="13"/>
      <c r="K27" s="13"/>
      <c r="L27" s="16"/>
      <c r="M27" s="113"/>
      <c r="N27" s="13"/>
      <c r="O27" s="13"/>
      <c r="P27" s="16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</row>
    <row r="28" spans="1:52" ht="13.05" customHeight="1" x14ac:dyDescent="0.3">
      <c r="A28" s="13"/>
      <c r="B28" s="34"/>
      <c r="C28" s="13"/>
      <c r="D28" s="13"/>
      <c r="E28" s="13"/>
      <c r="F28" s="38"/>
      <c r="G28" s="16"/>
      <c r="H28" s="13"/>
      <c r="I28" s="13"/>
      <c r="J28" s="13"/>
      <c r="K28" s="13"/>
      <c r="L28" s="16"/>
      <c r="M28" s="113"/>
      <c r="N28" s="13"/>
      <c r="O28" s="13"/>
      <c r="P28" s="16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</row>
    <row r="29" spans="1:52" ht="13.05" customHeight="1" x14ac:dyDescent="0.3">
      <c r="A29" s="13"/>
      <c r="B29" s="34" t="str">
        <f t="shared" ref="B29:B33" si="2">IF(COUNTA(C29,D29,E29,H29,I29)=0,"","R"&amp;TEXT(ROW()-5,"000"))</f>
        <v/>
      </c>
      <c r="C29" s="13"/>
      <c r="D29" s="13"/>
      <c r="E29" s="13"/>
      <c r="F29" s="38"/>
      <c r="G29" s="16"/>
      <c r="H29" s="13"/>
      <c r="I29" s="13"/>
      <c r="J29" s="13"/>
      <c r="K29" s="13"/>
      <c r="L29" s="16"/>
      <c r="M29" s="113"/>
      <c r="N29" s="13"/>
      <c r="O29" s="13"/>
      <c r="P29" s="16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</row>
    <row r="30" spans="1:52" ht="13.05" customHeight="1" x14ac:dyDescent="0.3">
      <c r="A30" s="13"/>
      <c r="B30" s="34" t="str">
        <f t="shared" si="2"/>
        <v/>
      </c>
      <c r="C30" s="13"/>
      <c r="D30" s="13"/>
      <c r="E30" s="13"/>
      <c r="F30" s="38"/>
      <c r="G30" s="16"/>
      <c r="H30" s="13"/>
      <c r="I30" s="13"/>
      <c r="J30" s="13"/>
      <c r="K30" s="13"/>
      <c r="L30" s="16"/>
      <c r="M30" s="113"/>
      <c r="N30" s="13"/>
      <c r="O30" s="13"/>
      <c r="P30" s="16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</row>
    <row r="31" spans="1:52" ht="13.05" customHeight="1" x14ac:dyDescent="0.3">
      <c r="A31" s="13"/>
      <c r="B31" s="34" t="str">
        <f t="shared" si="2"/>
        <v/>
      </c>
      <c r="C31" s="13"/>
      <c r="D31" s="13"/>
      <c r="E31" s="13"/>
      <c r="F31" s="38"/>
      <c r="G31" s="16"/>
      <c r="H31" s="13"/>
      <c r="I31" s="13"/>
      <c r="J31" s="13"/>
      <c r="K31" s="13"/>
      <c r="L31" s="16"/>
      <c r="M31" s="113"/>
      <c r="N31" s="13"/>
      <c r="O31" s="13"/>
      <c r="P31" s="16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</row>
    <row r="32" spans="1:52" ht="13.05" customHeight="1" x14ac:dyDescent="0.3">
      <c r="A32" s="13"/>
      <c r="B32" s="34" t="str">
        <f t="shared" si="2"/>
        <v/>
      </c>
      <c r="C32" s="13"/>
      <c r="D32" s="13"/>
      <c r="E32" s="13"/>
      <c r="F32" s="38"/>
      <c r="G32" s="16"/>
      <c r="H32" s="13"/>
      <c r="I32" s="13"/>
      <c r="J32" s="13"/>
      <c r="K32" s="13"/>
      <c r="L32" s="16"/>
      <c r="M32" s="113"/>
      <c r="N32" s="13"/>
      <c r="O32" s="13"/>
      <c r="P32" s="16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</row>
    <row r="33" spans="1:52" ht="13.05" customHeight="1" x14ac:dyDescent="0.3">
      <c r="A33" s="13"/>
      <c r="B33" s="34" t="str">
        <f t="shared" si="2"/>
        <v/>
      </c>
      <c r="C33" s="13"/>
      <c r="D33" s="13"/>
      <c r="E33" s="13"/>
      <c r="F33" s="38"/>
      <c r="G33" s="16"/>
      <c r="H33" s="13"/>
      <c r="I33" s="13"/>
      <c r="J33" s="13"/>
      <c r="K33" s="13"/>
      <c r="L33" s="16"/>
      <c r="M33" s="113"/>
      <c r="N33" s="13"/>
      <c r="O33" s="13"/>
      <c r="P33" s="16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</row>
    <row r="34" spans="1:52" ht="13.05" customHeight="1" x14ac:dyDescent="0.3">
      <c r="A34" s="13"/>
      <c r="B34" s="34" t="str">
        <f t="shared" ref="B34:B65" si="3">IF(COUNTA(C34,D34,E34,H34,I34)=0,"","R"&amp;TEXT(ROW()-5,"000"))</f>
        <v/>
      </c>
      <c r="C34" s="13"/>
      <c r="D34" s="13"/>
      <c r="E34" s="13"/>
      <c r="F34" s="38"/>
      <c r="G34" s="16"/>
      <c r="H34" s="13"/>
      <c r="I34" s="13"/>
      <c r="J34" s="13"/>
      <c r="K34" s="13"/>
      <c r="L34" s="16"/>
      <c r="M34" s="113"/>
      <c r="N34" s="13"/>
      <c r="O34" s="13"/>
      <c r="P34" s="16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</row>
    <row r="35" spans="1:52" ht="13.05" customHeight="1" x14ac:dyDescent="0.3">
      <c r="A35" s="13"/>
      <c r="B35" s="34" t="str">
        <f t="shared" si="3"/>
        <v/>
      </c>
      <c r="C35" s="13"/>
      <c r="D35" s="13"/>
      <c r="E35" s="13"/>
      <c r="F35" s="38"/>
      <c r="G35" s="16"/>
      <c r="H35" s="13"/>
      <c r="I35" s="13"/>
      <c r="J35" s="13"/>
      <c r="K35" s="13"/>
      <c r="L35" s="16"/>
      <c r="M35" s="113"/>
      <c r="N35" s="13"/>
      <c r="O35" s="13"/>
      <c r="P35" s="16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</row>
    <row r="36" spans="1:52" ht="13.05" customHeight="1" x14ac:dyDescent="0.3">
      <c r="A36" s="13"/>
      <c r="B36" s="34" t="str">
        <f t="shared" si="3"/>
        <v/>
      </c>
      <c r="C36" s="13"/>
      <c r="D36" s="13"/>
      <c r="E36" s="13"/>
      <c r="F36" s="38"/>
      <c r="G36" s="16"/>
      <c r="H36" s="13"/>
      <c r="I36" s="13"/>
      <c r="J36" s="13"/>
      <c r="K36" s="13"/>
      <c r="L36" s="16"/>
      <c r="M36" s="113"/>
      <c r="N36" s="13"/>
      <c r="O36" s="13"/>
      <c r="P36" s="16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</row>
    <row r="37" spans="1:52" ht="13.05" customHeight="1" x14ac:dyDescent="0.3">
      <c r="A37" s="13"/>
      <c r="B37" s="34" t="str">
        <f t="shared" si="3"/>
        <v/>
      </c>
      <c r="C37" s="13"/>
      <c r="D37" s="13"/>
      <c r="E37" s="13"/>
      <c r="F37" s="38"/>
      <c r="G37" s="16"/>
      <c r="H37" s="13"/>
      <c r="I37" s="13"/>
      <c r="J37" s="13"/>
      <c r="K37" s="13"/>
      <c r="L37" s="16"/>
      <c r="M37" s="113"/>
      <c r="N37" s="13"/>
      <c r="O37" s="13"/>
      <c r="P37" s="16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</row>
    <row r="38" spans="1:52" ht="13.05" customHeight="1" x14ac:dyDescent="0.3">
      <c r="A38" s="13"/>
      <c r="B38" s="34" t="str">
        <f t="shared" si="3"/>
        <v/>
      </c>
      <c r="C38" s="13"/>
      <c r="D38" s="13"/>
      <c r="E38" s="13"/>
      <c r="F38" s="38"/>
      <c r="G38" s="16"/>
      <c r="H38" s="13"/>
      <c r="I38" s="13"/>
      <c r="J38" s="13"/>
      <c r="K38" s="13"/>
      <c r="L38" s="16"/>
      <c r="M38" s="113"/>
      <c r="N38" s="13"/>
      <c r="O38" s="13"/>
      <c r="P38" s="16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</row>
    <row r="39" spans="1:52" ht="13.05" customHeight="1" x14ac:dyDescent="0.3">
      <c r="A39" s="13"/>
      <c r="B39" s="34" t="str">
        <f t="shared" si="3"/>
        <v/>
      </c>
      <c r="C39" s="13"/>
      <c r="D39" s="13"/>
      <c r="E39" s="13"/>
      <c r="F39" s="38"/>
      <c r="G39" s="16"/>
      <c r="H39" s="13"/>
      <c r="I39" s="13"/>
      <c r="J39" s="13"/>
      <c r="K39" s="13"/>
      <c r="L39" s="16"/>
      <c r="M39" s="113"/>
      <c r="N39" s="13"/>
      <c r="O39" s="13"/>
      <c r="P39" s="16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</row>
    <row r="40" spans="1:52" ht="13.05" customHeight="1" x14ac:dyDescent="0.3">
      <c r="A40" s="13"/>
      <c r="B40" s="34" t="str">
        <f t="shared" si="3"/>
        <v/>
      </c>
      <c r="C40" s="13"/>
      <c r="D40" s="13"/>
      <c r="E40" s="13"/>
      <c r="F40" s="38"/>
      <c r="G40" s="16"/>
      <c r="H40" s="13"/>
      <c r="I40" s="13"/>
      <c r="J40" s="13"/>
      <c r="K40" s="13"/>
      <c r="L40" s="16"/>
      <c r="M40" s="113"/>
      <c r="N40" s="13"/>
      <c r="O40" s="13"/>
      <c r="P40" s="16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</row>
    <row r="41" spans="1:52" ht="13.05" customHeight="1" x14ac:dyDescent="0.3">
      <c r="A41" s="13"/>
      <c r="B41" s="34" t="str">
        <f t="shared" si="3"/>
        <v/>
      </c>
      <c r="C41" s="13"/>
      <c r="D41" s="13"/>
      <c r="E41" s="13"/>
      <c r="F41" s="38"/>
      <c r="G41" s="16"/>
      <c r="H41" s="13"/>
      <c r="I41" s="13"/>
      <c r="J41" s="13"/>
      <c r="K41" s="13"/>
      <c r="L41" s="16"/>
      <c r="M41" s="113"/>
      <c r="N41" s="13"/>
      <c r="O41" s="13"/>
      <c r="P41" s="16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</row>
    <row r="42" spans="1:52" ht="13.05" customHeight="1" x14ac:dyDescent="0.3">
      <c r="A42" s="13"/>
      <c r="B42" s="34" t="str">
        <f t="shared" si="3"/>
        <v/>
      </c>
      <c r="C42" s="13"/>
      <c r="D42" s="13"/>
      <c r="E42" s="13"/>
      <c r="F42" s="38"/>
      <c r="G42" s="16"/>
      <c r="H42" s="13"/>
      <c r="I42" s="13"/>
      <c r="J42" s="13"/>
      <c r="K42" s="13"/>
      <c r="L42" s="16"/>
      <c r="M42" s="113"/>
      <c r="N42" s="13"/>
      <c r="O42" s="13"/>
      <c r="P42" s="16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</row>
    <row r="43" spans="1:52" ht="13.05" customHeight="1" x14ac:dyDescent="0.3">
      <c r="A43" s="13"/>
      <c r="B43" s="34" t="str">
        <f t="shared" si="3"/>
        <v/>
      </c>
      <c r="C43" s="13"/>
      <c r="D43" s="13"/>
      <c r="E43" s="13"/>
      <c r="F43" s="38"/>
      <c r="G43" s="16"/>
      <c r="H43" s="13"/>
      <c r="I43" s="13"/>
      <c r="J43" s="13"/>
      <c r="K43" s="13"/>
      <c r="L43" s="16"/>
      <c r="M43" s="113"/>
      <c r="N43" s="13"/>
      <c r="O43" s="13"/>
      <c r="P43" s="16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</row>
    <row r="44" spans="1:52" ht="13.05" customHeight="1" x14ac:dyDescent="0.3">
      <c r="A44" s="13"/>
      <c r="B44" s="34" t="str">
        <f t="shared" si="3"/>
        <v/>
      </c>
      <c r="C44" s="13"/>
      <c r="D44" s="13"/>
      <c r="E44" s="13"/>
      <c r="F44" s="38"/>
      <c r="G44" s="16"/>
      <c r="H44" s="13"/>
      <c r="I44" s="13"/>
      <c r="J44" s="13"/>
      <c r="K44" s="13"/>
      <c r="L44" s="16"/>
      <c r="M44" s="113"/>
      <c r="N44" s="13"/>
      <c r="O44" s="13"/>
      <c r="P44" s="16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</row>
    <row r="45" spans="1:52" ht="13.05" customHeight="1" x14ac:dyDescent="0.3">
      <c r="A45" s="13"/>
      <c r="B45" s="34" t="str">
        <f t="shared" si="3"/>
        <v/>
      </c>
      <c r="C45" s="13"/>
      <c r="D45" s="13"/>
      <c r="E45" s="13"/>
      <c r="F45" s="38"/>
      <c r="G45" s="16"/>
      <c r="H45" s="13"/>
      <c r="I45" s="13"/>
      <c r="J45" s="13"/>
      <c r="K45" s="13"/>
      <c r="L45" s="16"/>
      <c r="M45" s="113"/>
      <c r="N45" s="13"/>
      <c r="O45" s="13"/>
      <c r="P45" s="16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</row>
    <row r="46" spans="1:52" ht="13.05" customHeight="1" x14ac:dyDescent="0.3">
      <c r="A46" s="13"/>
      <c r="B46" s="34" t="str">
        <f t="shared" si="3"/>
        <v/>
      </c>
      <c r="C46" s="13"/>
      <c r="D46" s="13"/>
      <c r="E46" s="13"/>
      <c r="F46" s="38"/>
      <c r="G46" s="16"/>
      <c r="H46" s="13"/>
      <c r="I46" s="13"/>
      <c r="J46" s="13"/>
      <c r="K46" s="13"/>
      <c r="L46" s="16"/>
      <c r="M46" s="113"/>
      <c r="N46" s="13"/>
      <c r="O46" s="13"/>
      <c r="P46" s="16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</row>
    <row r="47" spans="1:52" ht="13.05" customHeight="1" x14ac:dyDescent="0.3">
      <c r="A47" s="13"/>
      <c r="B47" s="34" t="str">
        <f t="shared" si="3"/>
        <v/>
      </c>
      <c r="C47" s="13"/>
      <c r="D47" s="13"/>
      <c r="E47" s="13"/>
      <c r="F47" s="38"/>
      <c r="G47" s="16"/>
      <c r="H47" s="13"/>
      <c r="I47" s="13"/>
      <c r="J47" s="13"/>
      <c r="K47" s="13"/>
      <c r="L47" s="16"/>
      <c r="M47" s="113"/>
      <c r="N47" s="13"/>
      <c r="O47" s="13"/>
      <c r="P47" s="16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</row>
    <row r="48" spans="1:52" ht="13.05" customHeight="1" x14ac:dyDescent="0.3">
      <c r="A48" s="13"/>
      <c r="B48" s="34" t="str">
        <f t="shared" si="3"/>
        <v/>
      </c>
      <c r="C48" s="13"/>
      <c r="D48" s="13"/>
      <c r="E48" s="13"/>
      <c r="F48" s="38"/>
      <c r="G48" s="16"/>
      <c r="H48" s="13"/>
      <c r="I48" s="13"/>
      <c r="J48" s="13"/>
      <c r="K48" s="13"/>
      <c r="L48" s="16"/>
      <c r="M48" s="113"/>
      <c r="N48" s="13"/>
      <c r="O48" s="13"/>
      <c r="P48" s="16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</row>
    <row r="49" spans="1:52" ht="13.05" customHeight="1" x14ac:dyDescent="0.3">
      <c r="A49" s="13"/>
      <c r="B49" s="34" t="str">
        <f t="shared" si="3"/>
        <v/>
      </c>
      <c r="C49" s="13"/>
      <c r="D49" s="13"/>
      <c r="E49" s="13"/>
      <c r="F49" s="38"/>
      <c r="G49" s="16"/>
      <c r="H49" s="13"/>
      <c r="I49" s="13"/>
      <c r="J49" s="13"/>
      <c r="K49" s="13"/>
      <c r="L49" s="16"/>
      <c r="M49" s="113"/>
      <c r="N49" s="13"/>
      <c r="O49" s="13"/>
      <c r="P49" s="16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</row>
    <row r="50" spans="1:52" ht="13.05" customHeight="1" x14ac:dyDescent="0.3">
      <c r="A50" s="13"/>
      <c r="B50" s="34" t="str">
        <f t="shared" si="3"/>
        <v/>
      </c>
      <c r="C50" s="13"/>
      <c r="D50" s="13"/>
      <c r="E50" s="13"/>
      <c r="F50" s="38"/>
      <c r="G50" s="16"/>
      <c r="H50" s="13"/>
      <c r="I50" s="13"/>
      <c r="J50" s="13"/>
      <c r="K50" s="13"/>
      <c r="L50" s="16"/>
      <c r="M50" s="113"/>
      <c r="N50" s="13"/>
      <c r="O50" s="13"/>
      <c r="P50" s="16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</row>
    <row r="51" spans="1:52" ht="13.05" customHeight="1" x14ac:dyDescent="0.3">
      <c r="A51" s="13"/>
      <c r="B51" s="34" t="str">
        <f t="shared" si="3"/>
        <v/>
      </c>
      <c r="C51" s="13"/>
      <c r="D51" s="13"/>
      <c r="E51" s="13"/>
      <c r="F51" s="38"/>
      <c r="G51" s="16"/>
      <c r="H51" s="13"/>
      <c r="I51" s="13"/>
      <c r="J51" s="13"/>
      <c r="K51" s="13"/>
      <c r="L51" s="16"/>
      <c r="M51" s="113"/>
      <c r="N51" s="13"/>
      <c r="O51" s="13"/>
      <c r="P51" s="16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</row>
    <row r="52" spans="1:52" ht="13.05" customHeight="1" x14ac:dyDescent="0.3">
      <c r="A52" s="13"/>
      <c r="B52" s="34" t="str">
        <f t="shared" si="3"/>
        <v/>
      </c>
      <c r="C52" s="13"/>
      <c r="D52" s="13"/>
      <c r="E52" s="13"/>
      <c r="F52" s="38"/>
      <c r="G52" s="16"/>
      <c r="H52" s="13"/>
      <c r="I52" s="13"/>
      <c r="J52" s="13"/>
      <c r="K52" s="13"/>
      <c r="L52" s="16"/>
      <c r="M52" s="113"/>
      <c r="N52" s="13"/>
      <c r="O52" s="13"/>
      <c r="P52" s="16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</row>
    <row r="53" spans="1:52" ht="13.05" customHeight="1" x14ac:dyDescent="0.3">
      <c r="A53" s="13"/>
      <c r="B53" s="34" t="str">
        <f t="shared" si="3"/>
        <v/>
      </c>
      <c r="C53" s="13"/>
      <c r="D53" s="13"/>
      <c r="E53" s="13"/>
      <c r="F53" s="38"/>
      <c r="G53" s="16"/>
      <c r="H53" s="13"/>
      <c r="I53" s="13"/>
      <c r="J53" s="13"/>
      <c r="K53" s="13"/>
      <c r="L53" s="16"/>
      <c r="M53" s="113"/>
      <c r="N53" s="13"/>
      <c r="O53" s="13"/>
      <c r="P53" s="16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</row>
    <row r="54" spans="1:52" ht="13.05" customHeight="1" x14ac:dyDescent="0.3">
      <c r="A54" s="13"/>
      <c r="B54" s="34" t="str">
        <f t="shared" si="3"/>
        <v/>
      </c>
      <c r="C54" s="13"/>
      <c r="D54" s="13"/>
      <c r="E54" s="13"/>
      <c r="F54" s="38"/>
      <c r="G54" s="16"/>
      <c r="H54" s="13"/>
      <c r="I54" s="13"/>
      <c r="J54" s="13"/>
      <c r="K54" s="13"/>
      <c r="L54" s="16"/>
      <c r="M54" s="113"/>
      <c r="N54" s="13"/>
      <c r="O54" s="13"/>
      <c r="P54" s="16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</row>
    <row r="55" spans="1:52" ht="13.05" customHeight="1" x14ac:dyDescent="0.3">
      <c r="A55" s="13"/>
      <c r="B55" s="34" t="str">
        <f t="shared" si="3"/>
        <v/>
      </c>
      <c r="C55" s="13"/>
      <c r="D55" s="13"/>
      <c r="E55" s="13"/>
      <c r="F55" s="38"/>
      <c r="G55" s="16"/>
      <c r="H55" s="13"/>
      <c r="I55" s="13"/>
      <c r="J55" s="13"/>
      <c r="K55" s="13"/>
      <c r="L55" s="16"/>
      <c r="M55" s="113"/>
      <c r="N55" s="13"/>
      <c r="O55" s="13"/>
      <c r="P55" s="16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</row>
    <row r="56" spans="1:52" ht="13.05" customHeight="1" x14ac:dyDescent="0.3">
      <c r="A56" s="13"/>
      <c r="B56" s="34" t="str">
        <f t="shared" si="3"/>
        <v/>
      </c>
      <c r="C56" s="13"/>
      <c r="D56" s="13"/>
      <c r="E56" s="13"/>
      <c r="F56" s="38"/>
      <c r="G56" s="16"/>
      <c r="H56" s="13"/>
      <c r="I56" s="13"/>
      <c r="J56" s="13"/>
      <c r="K56" s="13"/>
      <c r="L56" s="16"/>
      <c r="M56" s="113"/>
      <c r="N56" s="13"/>
      <c r="O56" s="13"/>
      <c r="P56" s="16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</row>
    <row r="57" spans="1:52" ht="13.05" customHeight="1" x14ac:dyDescent="0.3">
      <c r="A57" s="13"/>
      <c r="B57" s="34" t="str">
        <f t="shared" si="3"/>
        <v/>
      </c>
      <c r="C57" s="13"/>
      <c r="D57" s="13"/>
      <c r="E57" s="13"/>
      <c r="F57" s="38"/>
      <c r="G57" s="16"/>
      <c r="H57" s="13"/>
      <c r="I57" s="13"/>
      <c r="J57" s="13"/>
      <c r="K57" s="13"/>
      <c r="L57" s="16"/>
      <c r="M57" s="113"/>
      <c r="N57" s="13"/>
      <c r="O57" s="13"/>
      <c r="P57" s="16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</row>
    <row r="58" spans="1:52" ht="13.05" customHeight="1" x14ac:dyDescent="0.3">
      <c r="A58" s="13"/>
      <c r="B58" s="34" t="str">
        <f t="shared" si="3"/>
        <v/>
      </c>
      <c r="C58" s="13"/>
      <c r="D58" s="13"/>
      <c r="E58" s="13"/>
      <c r="F58" s="38"/>
      <c r="G58" s="16"/>
      <c r="H58" s="13"/>
      <c r="I58" s="13"/>
      <c r="J58" s="13"/>
      <c r="K58" s="13"/>
      <c r="L58" s="16"/>
      <c r="M58" s="113"/>
      <c r="N58" s="13"/>
      <c r="O58" s="13"/>
      <c r="P58" s="16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</row>
    <row r="59" spans="1:52" ht="13.05" customHeight="1" x14ac:dyDescent="0.3">
      <c r="A59" s="13"/>
      <c r="B59" s="34" t="str">
        <f t="shared" si="3"/>
        <v/>
      </c>
      <c r="C59" s="13"/>
      <c r="D59" s="13"/>
      <c r="E59" s="13"/>
      <c r="F59" s="38"/>
      <c r="G59" s="16"/>
      <c r="H59" s="13"/>
      <c r="I59" s="13"/>
      <c r="J59" s="13"/>
      <c r="K59" s="13"/>
      <c r="L59" s="16"/>
      <c r="M59" s="113"/>
      <c r="N59" s="13"/>
      <c r="O59" s="13"/>
      <c r="P59" s="16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</row>
    <row r="60" spans="1:52" ht="13.05" customHeight="1" x14ac:dyDescent="0.3">
      <c r="A60" s="13"/>
      <c r="B60" s="34" t="str">
        <f t="shared" si="3"/>
        <v/>
      </c>
      <c r="C60" s="13"/>
      <c r="D60" s="13"/>
      <c r="E60" s="13"/>
      <c r="F60" s="38"/>
      <c r="G60" s="16"/>
      <c r="H60" s="13"/>
      <c r="I60" s="13"/>
      <c r="J60" s="13"/>
      <c r="K60" s="13"/>
      <c r="L60" s="16"/>
      <c r="M60" s="113"/>
      <c r="N60" s="13"/>
      <c r="O60" s="13"/>
      <c r="P60" s="16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</row>
    <row r="61" spans="1:52" ht="13.05" customHeight="1" x14ac:dyDescent="0.3">
      <c r="A61" s="13"/>
      <c r="B61" s="34" t="str">
        <f t="shared" si="3"/>
        <v/>
      </c>
      <c r="C61" s="13"/>
      <c r="D61" s="13"/>
      <c r="E61" s="13"/>
      <c r="F61" s="38"/>
      <c r="G61" s="16"/>
      <c r="H61" s="13"/>
      <c r="I61" s="13"/>
      <c r="J61" s="13"/>
      <c r="K61" s="13"/>
      <c r="L61" s="16"/>
      <c r="M61" s="113"/>
      <c r="N61" s="13"/>
      <c r="O61" s="13"/>
      <c r="P61" s="16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</row>
    <row r="62" spans="1:52" ht="13.05" customHeight="1" x14ac:dyDescent="0.3">
      <c r="A62" s="13"/>
      <c r="B62" s="34" t="str">
        <f t="shared" si="3"/>
        <v/>
      </c>
      <c r="C62" s="13"/>
      <c r="D62" s="13"/>
      <c r="E62" s="13"/>
      <c r="F62" s="38"/>
      <c r="G62" s="16"/>
      <c r="H62" s="13"/>
      <c r="I62" s="13"/>
      <c r="J62" s="13"/>
      <c r="K62" s="13"/>
      <c r="L62" s="16"/>
      <c r="M62" s="113"/>
      <c r="N62" s="13"/>
      <c r="O62" s="13"/>
      <c r="P62" s="16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</row>
    <row r="63" spans="1:52" ht="13.05" customHeight="1" x14ac:dyDescent="0.3">
      <c r="A63" s="13"/>
      <c r="B63" s="34" t="str">
        <f t="shared" si="3"/>
        <v/>
      </c>
      <c r="C63" s="13"/>
      <c r="D63" s="13"/>
      <c r="E63" s="13"/>
      <c r="F63" s="38"/>
      <c r="G63" s="16"/>
      <c r="H63" s="13"/>
      <c r="I63" s="13"/>
      <c r="J63" s="13"/>
      <c r="K63" s="13"/>
      <c r="L63" s="16"/>
      <c r="M63" s="113"/>
      <c r="N63" s="13"/>
      <c r="O63" s="13"/>
      <c r="P63" s="16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</row>
    <row r="64" spans="1:52" ht="13.05" customHeight="1" x14ac:dyDescent="0.3">
      <c r="A64" s="13"/>
      <c r="B64" s="34" t="str">
        <f t="shared" si="3"/>
        <v/>
      </c>
      <c r="C64" s="13"/>
      <c r="D64" s="13"/>
      <c r="E64" s="13"/>
      <c r="F64" s="38"/>
      <c r="G64" s="16"/>
      <c r="H64" s="13"/>
      <c r="I64" s="13"/>
      <c r="J64" s="13"/>
      <c r="K64" s="13"/>
      <c r="L64" s="16"/>
      <c r="M64" s="113"/>
      <c r="N64" s="13"/>
      <c r="O64" s="13"/>
      <c r="P64" s="16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</row>
    <row r="65" spans="1:52" ht="13.05" customHeight="1" x14ac:dyDescent="0.3">
      <c r="A65" s="13"/>
      <c r="B65" s="34" t="str">
        <f t="shared" si="3"/>
        <v/>
      </c>
      <c r="C65" s="13"/>
      <c r="D65" s="13"/>
      <c r="E65" s="13"/>
      <c r="F65" s="38"/>
      <c r="G65" s="16"/>
      <c r="H65" s="13"/>
      <c r="I65" s="13"/>
      <c r="J65" s="13"/>
      <c r="K65" s="13"/>
      <c r="L65" s="16"/>
      <c r="M65" s="113"/>
      <c r="N65" s="13"/>
      <c r="O65" s="13"/>
      <c r="P65" s="16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</row>
    <row r="66" spans="1:52" ht="13.05" customHeight="1" x14ac:dyDescent="0.3">
      <c r="A66" s="13"/>
      <c r="B66" s="34" t="str">
        <f t="shared" ref="B66:B97" si="4">IF(COUNTA(C66,D66,E66,H66,I66)=0,"","R"&amp;TEXT(ROW()-5,"000"))</f>
        <v/>
      </c>
      <c r="C66" s="13"/>
      <c r="D66" s="13"/>
      <c r="E66" s="13"/>
      <c r="F66" s="38"/>
      <c r="G66" s="16"/>
      <c r="H66" s="13"/>
      <c r="I66" s="13"/>
      <c r="J66" s="13"/>
      <c r="K66" s="13"/>
      <c r="L66" s="16"/>
      <c r="M66" s="113"/>
      <c r="N66" s="13"/>
      <c r="O66" s="13"/>
      <c r="P66" s="16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</row>
    <row r="67" spans="1:52" ht="13.05" customHeight="1" x14ac:dyDescent="0.3">
      <c r="A67" s="13"/>
      <c r="B67" s="34" t="str">
        <f t="shared" si="4"/>
        <v/>
      </c>
      <c r="C67" s="13"/>
      <c r="D67" s="13"/>
      <c r="E67" s="13"/>
      <c r="F67" s="38"/>
      <c r="G67" s="16"/>
      <c r="H67" s="13"/>
      <c r="I67" s="13"/>
      <c r="J67" s="13"/>
      <c r="K67" s="13"/>
      <c r="L67" s="16"/>
      <c r="M67" s="113"/>
      <c r="N67" s="13"/>
      <c r="O67" s="13"/>
      <c r="P67" s="16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</row>
    <row r="68" spans="1:52" ht="13.05" customHeight="1" x14ac:dyDescent="0.3">
      <c r="A68" s="13"/>
      <c r="B68" s="34" t="str">
        <f t="shared" si="4"/>
        <v/>
      </c>
      <c r="C68" s="13"/>
      <c r="D68" s="13"/>
      <c r="E68" s="13"/>
      <c r="F68" s="38"/>
      <c r="G68" s="16"/>
      <c r="H68" s="13"/>
      <c r="I68" s="13"/>
      <c r="J68" s="13"/>
      <c r="K68" s="13"/>
      <c r="L68" s="16"/>
      <c r="M68" s="113"/>
      <c r="N68" s="13"/>
      <c r="O68" s="13"/>
      <c r="P68" s="16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</row>
    <row r="69" spans="1:52" ht="13.05" customHeight="1" x14ac:dyDescent="0.3">
      <c r="A69" s="13"/>
      <c r="B69" s="34" t="str">
        <f t="shared" si="4"/>
        <v/>
      </c>
      <c r="C69" s="13"/>
      <c r="D69" s="13"/>
      <c r="E69" s="13"/>
      <c r="F69" s="38"/>
      <c r="G69" s="16"/>
      <c r="H69" s="13"/>
      <c r="I69" s="13"/>
      <c r="J69" s="13"/>
      <c r="K69" s="13"/>
      <c r="L69" s="16"/>
      <c r="M69" s="113"/>
      <c r="N69" s="13"/>
      <c r="O69" s="13"/>
      <c r="P69" s="16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</row>
    <row r="70" spans="1:52" ht="13.05" customHeight="1" x14ac:dyDescent="0.3">
      <c r="A70" s="13"/>
      <c r="B70" s="34" t="str">
        <f t="shared" si="4"/>
        <v/>
      </c>
      <c r="C70" s="13"/>
      <c r="D70" s="13"/>
      <c r="E70" s="13"/>
      <c r="F70" s="38"/>
      <c r="G70" s="16"/>
      <c r="H70" s="13"/>
      <c r="I70" s="13"/>
      <c r="J70" s="13"/>
      <c r="K70" s="13"/>
      <c r="L70" s="16"/>
      <c r="M70" s="113"/>
      <c r="N70" s="13"/>
      <c r="O70" s="13"/>
      <c r="P70" s="16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</row>
    <row r="71" spans="1:52" ht="13.05" customHeight="1" x14ac:dyDescent="0.3">
      <c r="A71" s="13"/>
      <c r="B71" s="34" t="str">
        <f t="shared" si="4"/>
        <v/>
      </c>
      <c r="C71" s="13"/>
      <c r="D71" s="13"/>
      <c r="E71" s="13"/>
      <c r="F71" s="38"/>
      <c r="G71" s="16"/>
      <c r="H71" s="13"/>
      <c r="I71" s="13"/>
      <c r="J71" s="13"/>
      <c r="K71" s="13"/>
      <c r="L71" s="16"/>
      <c r="M71" s="113"/>
      <c r="N71" s="13"/>
      <c r="O71" s="13"/>
      <c r="P71" s="16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</row>
    <row r="72" spans="1:52" ht="13.05" customHeight="1" x14ac:dyDescent="0.3">
      <c r="A72" s="13"/>
      <c r="B72" s="34" t="str">
        <f t="shared" si="4"/>
        <v/>
      </c>
      <c r="C72" s="13"/>
      <c r="D72" s="13"/>
      <c r="E72" s="13"/>
      <c r="F72" s="38"/>
      <c r="G72" s="16"/>
      <c r="H72" s="13"/>
      <c r="I72" s="13"/>
      <c r="J72" s="13"/>
      <c r="K72" s="13"/>
      <c r="L72" s="16"/>
      <c r="M72" s="113"/>
      <c r="N72" s="13"/>
      <c r="O72" s="13"/>
      <c r="P72" s="16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</row>
    <row r="73" spans="1:52" ht="13.05" customHeight="1" x14ac:dyDescent="0.3">
      <c r="A73" s="13"/>
      <c r="B73" s="34" t="str">
        <f t="shared" si="4"/>
        <v/>
      </c>
      <c r="C73" s="13"/>
      <c r="D73" s="13"/>
      <c r="E73" s="13"/>
      <c r="F73" s="38"/>
      <c r="G73" s="16"/>
      <c r="H73" s="13"/>
      <c r="I73" s="13"/>
      <c r="J73" s="13"/>
      <c r="K73" s="13"/>
      <c r="L73" s="16"/>
      <c r="M73" s="113"/>
      <c r="N73" s="13"/>
      <c r="O73" s="13"/>
      <c r="P73" s="16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</row>
    <row r="74" spans="1:52" ht="13.05" customHeight="1" x14ac:dyDescent="0.3">
      <c r="A74" s="13"/>
      <c r="B74" s="34" t="str">
        <f t="shared" si="4"/>
        <v/>
      </c>
      <c r="C74" s="13"/>
      <c r="D74" s="13"/>
      <c r="E74" s="13"/>
      <c r="F74" s="38"/>
      <c r="G74" s="16"/>
      <c r="H74" s="13"/>
      <c r="I74" s="13"/>
      <c r="J74" s="13"/>
      <c r="K74" s="13"/>
      <c r="L74" s="16"/>
      <c r="M74" s="113"/>
      <c r="N74" s="13"/>
      <c r="O74" s="13"/>
      <c r="P74" s="16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</row>
    <row r="75" spans="1:52" ht="13.05" customHeight="1" x14ac:dyDescent="0.3">
      <c r="A75" s="13"/>
      <c r="B75" s="34" t="str">
        <f t="shared" si="4"/>
        <v/>
      </c>
      <c r="C75" s="13"/>
      <c r="D75" s="13"/>
      <c r="E75" s="13"/>
      <c r="F75" s="38"/>
      <c r="G75" s="16"/>
      <c r="H75" s="13"/>
      <c r="I75" s="13"/>
      <c r="J75" s="13"/>
      <c r="K75" s="13"/>
      <c r="L75" s="16"/>
      <c r="M75" s="113"/>
      <c r="N75" s="13"/>
      <c r="O75" s="13"/>
      <c r="P75" s="16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</row>
    <row r="76" spans="1:52" ht="13.05" customHeight="1" x14ac:dyDescent="0.3">
      <c r="A76" s="13"/>
      <c r="B76" s="34" t="str">
        <f t="shared" si="4"/>
        <v/>
      </c>
      <c r="C76" s="13"/>
      <c r="D76" s="13"/>
      <c r="E76" s="13"/>
      <c r="F76" s="38"/>
      <c r="G76" s="16"/>
      <c r="H76" s="13"/>
      <c r="I76" s="13"/>
      <c r="J76" s="13"/>
      <c r="K76" s="13"/>
      <c r="L76" s="16"/>
      <c r="M76" s="113"/>
      <c r="N76" s="13"/>
      <c r="O76" s="13"/>
      <c r="P76" s="16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</row>
    <row r="77" spans="1:52" ht="13.05" customHeight="1" x14ac:dyDescent="0.3">
      <c r="A77" s="13"/>
      <c r="B77" s="34" t="str">
        <f t="shared" si="4"/>
        <v/>
      </c>
      <c r="C77" s="13"/>
      <c r="D77" s="13"/>
      <c r="E77" s="13"/>
      <c r="F77" s="38"/>
      <c r="G77" s="16"/>
      <c r="H77" s="13"/>
      <c r="I77" s="13"/>
      <c r="J77" s="13"/>
      <c r="K77" s="13"/>
      <c r="L77" s="16"/>
      <c r="M77" s="113"/>
      <c r="N77" s="13"/>
      <c r="O77" s="13"/>
      <c r="P77" s="16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</row>
    <row r="78" spans="1:52" ht="13.05" customHeight="1" x14ac:dyDescent="0.3">
      <c r="A78" s="13"/>
      <c r="B78" s="34" t="str">
        <f t="shared" si="4"/>
        <v/>
      </c>
      <c r="C78" s="13"/>
      <c r="D78" s="13"/>
      <c r="E78" s="13"/>
      <c r="F78" s="38"/>
      <c r="G78" s="16"/>
      <c r="H78" s="13"/>
      <c r="I78" s="13"/>
      <c r="J78" s="13"/>
      <c r="K78" s="13"/>
      <c r="L78" s="16"/>
      <c r="M78" s="113"/>
      <c r="N78" s="13"/>
      <c r="O78" s="13"/>
      <c r="P78" s="16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</row>
    <row r="79" spans="1:52" ht="13.05" customHeight="1" x14ac:dyDescent="0.3">
      <c r="A79" s="13"/>
      <c r="B79" s="34" t="str">
        <f t="shared" si="4"/>
        <v/>
      </c>
      <c r="C79" s="13"/>
      <c r="D79" s="13"/>
      <c r="E79" s="13"/>
      <c r="F79" s="38"/>
      <c r="G79" s="16"/>
      <c r="H79" s="13"/>
      <c r="I79" s="13"/>
      <c r="J79" s="13"/>
      <c r="K79" s="13"/>
      <c r="L79" s="16"/>
      <c r="M79" s="113"/>
      <c r="N79" s="13"/>
      <c r="O79" s="13"/>
      <c r="P79" s="16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</row>
    <row r="80" spans="1:52" ht="13.05" customHeight="1" x14ac:dyDescent="0.3">
      <c r="A80" s="13"/>
      <c r="B80" s="34" t="str">
        <f t="shared" si="4"/>
        <v/>
      </c>
      <c r="C80" s="13"/>
      <c r="D80" s="13"/>
      <c r="E80" s="13"/>
      <c r="F80" s="38"/>
      <c r="G80" s="16"/>
      <c r="H80" s="13"/>
      <c r="I80" s="13"/>
      <c r="J80" s="13"/>
      <c r="K80" s="13"/>
      <c r="L80" s="16"/>
      <c r="M80" s="113"/>
      <c r="N80" s="13"/>
      <c r="O80" s="13"/>
      <c r="P80" s="16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</row>
    <row r="81" spans="1:52" ht="13.05" customHeight="1" x14ac:dyDescent="0.3">
      <c r="A81" s="13"/>
      <c r="B81" s="34" t="str">
        <f t="shared" si="4"/>
        <v/>
      </c>
      <c r="C81" s="13"/>
      <c r="D81" s="13"/>
      <c r="E81" s="13"/>
      <c r="F81" s="38"/>
      <c r="G81" s="16"/>
      <c r="H81" s="13"/>
      <c r="I81" s="13"/>
      <c r="J81" s="13"/>
      <c r="K81" s="13"/>
      <c r="L81" s="16"/>
      <c r="M81" s="113"/>
      <c r="N81" s="13"/>
      <c r="O81" s="13"/>
      <c r="P81" s="16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</row>
    <row r="82" spans="1:52" ht="13.05" customHeight="1" x14ac:dyDescent="0.3">
      <c r="A82" s="13"/>
      <c r="B82" s="34" t="str">
        <f t="shared" si="4"/>
        <v/>
      </c>
      <c r="C82" s="13"/>
      <c r="D82" s="13"/>
      <c r="E82" s="13"/>
      <c r="F82" s="38"/>
      <c r="G82" s="16"/>
      <c r="H82" s="13"/>
      <c r="I82" s="13"/>
      <c r="J82" s="13"/>
      <c r="K82" s="13"/>
      <c r="L82" s="16"/>
      <c r="M82" s="113"/>
      <c r="N82" s="13"/>
      <c r="O82" s="13"/>
      <c r="P82" s="16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</row>
    <row r="83" spans="1:52" ht="13.05" customHeight="1" x14ac:dyDescent="0.3">
      <c r="A83" s="13"/>
      <c r="B83" s="34" t="str">
        <f t="shared" si="4"/>
        <v/>
      </c>
      <c r="C83" s="13"/>
      <c r="D83" s="13"/>
      <c r="E83" s="13"/>
      <c r="F83" s="38"/>
      <c r="G83" s="16"/>
      <c r="H83" s="13"/>
      <c r="I83" s="13"/>
      <c r="J83" s="13"/>
      <c r="K83" s="13"/>
      <c r="L83" s="16"/>
      <c r="M83" s="113"/>
      <c r="N83" s="13"/>
      <c r="O83" s="13"/>
      <c r="P83" s="16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</row>
    <row r="84" spans="1:52" ht="13.05" customHeight="1" x14ac:dyDescent="0.3">
      <c r="A84" s="13"/>
      <c r="B84" s="34" t="str">
        <f t="shared" si="4"/>
        <v/>
      </c>
      <c r="C84" s="13"/>
      <c r="D84" s="13"/>
      <c r="E84" s="13"/>
      <c r="F84" s="38"/>
      <c r="G84" s="16"/>
      <c r="H84" s="13"/>
      <c r="I84" s="13"/>
      <c r="J84" s="13"/>
      <c r="K84" s="13"/>
      <c r="L84" s="16"/>
      <c r="M84" s="113"/>
      <c r="N84" s="13"/>
      <c r="O84" s="13"/>
      <c r="P84" s="16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</row>
    <row r="85" spans="1:52" ht="13.05" customHeight="1" x14ac:dyDescent="0.3">
      <c r="A85" s="13"/>
      <c r="B85" s="34" t="str">
        <f t="shared" si="4"/>
        <v/>
      </c>
      <c r="C85" s="13"/>
      <c r="D85" s="13"/>
      <c r="E85" s="13"/>
      <c r="F85" s="38"/>
      <c r="G85" s="16"/>
      <c r="H85" s="13"/>
      <c r="I85" s="13"/>
      <c r="J85" s="13"/>
      <c r="K85" s="13"/>
      <c r="L85" s="16"/>
      <c r="M85" s="113"/>
      <c r="N85" s="13"/>
      <c r="O85" s="13"/>
      <c r="P85" s="16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</row>
    <row r="86" spans="1:52" ht="13.05" customHeight="1" x14ac:dyDescent="0.3">
      <c r="A86" s="13"/>
      <c r="B86" s="34" t="str">
        <f t="shared" si="4"/>
        <v/>
      </c>
      <c r="C86" s="13"/>
      <c r="D86" s="13"/>
      <c r="E86" s="13"/>
      <c r="F86" s="38"/>
      <c r="G86" s="16"/>
      <c r="H86" s="13"/>
      <c r="I86" s="13"/>
      <c r="J86" s="13"/>
      <c r="K86" s="13"/>
      <c r="L86" s="16"/>
      <c r="M86" s="113"/>
      <c r="N86" s="13"/>
      <c r="O86" s="13"/>
      <c r="P86" s="16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</row>
    <row r="87" spans="1:52" ht="13.05" customHeight="1" x14ac:dyDescent="0.3">
      <c r="A87" s="13"/>
      <c r="B87" s="34" t="str">
        <f t="shared" si="4"/>
        <v/>
      </c>
      <c r="C87" s="13"/>
      <c r="D87" s="13"/>
      <c r="E87" s="13"/>
      <c r="F87" s="38"/>
      <c r="G87" s="16"/>
      <c r="H87" s="13"/>
      <c r="I87" s="13"/>
      <c r="J87" s="13"/>
      <c r="K87" s="13"/>
      <c r="L87" s="16"/>
      <c r="M87" s="113"/>
      <c r="N87" s="13"/>
      <c r="O87" s="13"/>
      <c r="P87" s="16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</row>
    <row r="88" spans="1:52" ht="13.05" customHeight="1" x14ac:dyDescent="0.3">
      <c r="A88" s="13"/>
      <c r="B88" s="34" t="str">
        <f t="shared" si="4"/>
        <v/>
      </c>
      <c r="C88" s="13"/>
      <c r="D88" s="13"/>
      <c r="E88" s="13"/>
      <c r="F88" s="38"/>
      <c r="G88" s="16"/>
      <c r="H88" s="13"/>
      <c r="I88" s="13"/>
      <c r="J88" s="13"/>
      <c r="K88" s="13"/>
      <c r="L88" s="16"/>
      <c r="M88" s="113"/>
      <c r="N88" s="13"/>
      <c r="O88" s="13"/>
      <c r="P88" s="16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</row>
    <row r="89" spans="1:52" ht="13.05" customHeight="1" x14ac:dyDescent="0.3">
      <c r="A89" s="13"/>
      <c r="B89" s="34" t="str">
        <f t="shared" si="4"/>
        <v/>
      </c>
      <c r="C89" s="13"/>
      <c r="D89" s="13"/>
      <c r="E89" s="13"/>
      <c r="F89" s="38"/>
      <c r="G89" s="16"/>
      <c r="H89" s="13"/>
      <c r="I89" s="13"/>
      <c r="J89" s="13"/>
      <c r="K89" s="13"/>
      <c r="L89" s="16"/>
      <c r="M89" s="113"/>
      <c r="N89" s="13"/>
      <c r="O89" s="13"/>
      <c r="P89" s="16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</row>
    <row r="90" spans="1:52" ht="13.05" customHeight="1" x14ac:dyDescent="0.3">
      <c r="A90" s="13"/>
      <c r="B90" s="34" t="str">
        <f t="shared" si="4"/>
        <v/>
      </c>
      <c r="C90" s="13"/>
      <c r="D90" s="13"/>
      <c r="E90" s="13"/>
      <c r="F90" s="38"/>
      <c r="G90" s="16"/>
      <c r="H90" s="13"/>
      <c r="I90" s="13"/>
      <c r="J90" s="13"/>
      <c r="K90" s="13"/>
      <c r="L90" s="16"/>
      <c r="M90" s="113"/>
      <c r="N90" s="13"/>
      <c r="O90" s="13"/>
      <c r="P90" s="16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</row>
    <row r="91" spans="1:52" ht="13.05" customHeight="1" x14ac:dyDescent="0.3">
      <c r="A91" s="13"/>
      <c r="B91" s="34" t="str">
        <f t="shared" si="4"/>
        <v/>
      </c>
      <c r="C91" s="13"/>
      <c r="D91" s="13"/>
      <c r="E91" s="13"/>
      <c r="F91" s="38"/>
      <c r="G91" s="16"/>
      <c r="H91" s="13"/>
      <c r="I91" s="13"/>
      <c r="J91" s="13"/>
      <c r="K91" s="13"/>
      <c r="L91" s="16"/>
      <c r="M91" s="113"/>
      <c r="N91" s="13"/>
      <c r="O91" s="13"/>
      <c r="P91" s="16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</row>
    <row r="92" spans="1:52" ht="13.05" customHeight="1" x14ac:dyDescent="0.3">
      <c r="A92" s="13"/>
      <c r="B92" s="34" t="str">
        <f t="shared" si="4"/>
        <v/>
      </c>
      <c r="C92" s="13"/>
      <c r="D92" s="13"/>
      <c r="E92" s="13"/>
      <c r="F92" s="38"/>
      <c r="G92" s="16"/>
      <c r="H92" s="13"/>
      <c r="I92" s="13"/>
      <c r="J92" s="13"/>
      <c r="K92" s="13"/>
      <c r="L92" s="16"/>
      <c r="M92" s="113"/>
      <c r="N92" s="13"/>
      <c r="O92" s="13"/>
      <c r="P92" s="16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</row>
    <row r="93" spans="1:52" ht="13.05" customHeight="1" x14ac:dyDescent="0.3">
      <c r="A93" s="13"/>
      <c r="B93" s="34" t="str">
        <f t="shared" si="4"/>
        <v/>
      </c>
      <c r="C93" s="13"/>
      <c r="D93" s="13"/>
      <c r="E93" s="13"/>
      <c r="F93" s="38"/>
      <c r="G93" s="16"/>
      <c r="H93" s="13"/>
      <c r="I93" s="13"/>
      <c r="J93" s="13"/>
      <c r="K93" s="13"/>
      <c r="L93" s="16"/>
      <c r="M93" s="113"/>
      <c r="N93" s="13"/>
      <c r="O93" s="13"/>
      <c r="P93" s="16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</row>
    <row r="94" spans="1:52" ht="13.05" customHeight="1" x14ac:dyDescent="0.3">
      <c r="A94" s="13"/>
      <c r="B94" s="34" t="str">
        <f t="shared" si="4"/>
        <v/>
      </c>
      <c r="C94" s="13"/>
      <c r="D94" s="13"/>
      <c r="E94" s="13"/>
      <c r="F94" s="38"/>
      <c r="G94" s="16"/>
      <c r="H94" s="13"/>
      <c r="I94" s="13"/>
      <c r="J94" s="13"/>
      <c r="K94" s="13"/>
      <c r="L94" s="16"/>
      <c r="M94" s="113"/>
      <c r="N94" s="13"/>
      <c r="O94" s="13"/>
      <c r="P94" s="16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</row>
    <row r="95" spans="1:52" ht="13.05" customHeight="1" x14ac:dyDescent="0.3">
      <c r="A95" s="13"/>
      <c r="B95" s="34" t="str">
        <f t="shared" si="4"/>
        <v/>
      </c>
      <c r="C95" s="13"/>
      <c r="D95" s="13"/>
      <c r="E95" s="13"/>
      <c r="F95" s="38"/>
      <c r="G95" s="16"/>
      <c r="H95" s="13"/>
      <c r="I95" s="13"/>
      <c r="J95" s="13"/>
      <c r="K95" s="13"/>
      <c r="L95" s="16"/>
      <c r="M95" s="113"/>
      <c r="N95" s="13"/>
      <c r="O95" s="13"/>
      <c r="P95" s="16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</row>
    <row r="96" spans="1:52" ht="13.05" customHeight="1" x14ac:dyDescent="0.3">
      <c r="A96" s="13"/>
      <c r="B96" s="34" t="str">
        <f t="shared" si="4"/>
        <v/>
      </c>
      <c r="C96" s="13"/>
      <c r="D96" s="13"/>
      <c r="E96" s="13"/>
      <c r="F96" s="38"/>
      <c r="G96" s="16"/>
      <c r="H96" s="13"/>
      <c r="I96" s="13"/>
      <c r="J96" s="13"/>
      <c r="K96" s="13"/>
      <c r="L96" s="16"/>
      <c r="M96" s="113"/>
      <c r="N96" s="13"/>
      <c r="O96" s="13"/>
      <c r="P96" s="16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</row>
    <row r="97" spans="1:52" ht="13.05" customHeight="1" x14ac:dyDescent="0.3">
      <c r="A97" s="13"/>
      <c r="B97" s="34" t="str">
        <f t="shared" si="4"/>
        <v/>
      </c>
      <c r="C97" s="13"/>
      <c r="D97" s="13"/>
      <c r="E97" s="13"/>
      <c r="F97" s="38"/>
      <c r="G97" s="16"/>
      <c r="H97" s="13"/>
      <c r="I97" s="13"/>
      <c r="J97" s="13"/>
      <c r="K97" s="13"/>
      <c r="L97" s="16"/>
      <c r="M97" s="113"/>
      <c r="N97" s="13"/>
      <c r="O97" s="13"/>
      <c r="P97" s="16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</row>
    <row r="98" spans="1:52" ht="13.05" customHeight="1" x14ac:dyDescent="0.3">
      <c r="A98" s="13"/>
      <c r="B98" s="34" t="str">
        <f t="shared" ref="B98:B129" si="5">IF(COUNTA(C98,D98,E98,H98,I98)=0,"","R"&amp;TEXT(ROW()-5,"000"))</f>
        <v/>
      </c>
      <c r="C98" s="13"/>
      <c r="D98" s="13"/>
      <c r="E98" s="13"/>
      <c r="F98" s="38"/>
      <c r="G98" s="16"/>
      <c r="H98" s="13"/>
      <c r="I98" s="13"/>
      <c r="J98" s="13"/>
      <c r="K98" s="13"/>
      <c r="L98" s="16"/>
      <c r="M98" s="113"/>
      <c r="N98" s="13"/>
      <c r="O98" s="13"/>
      <c r="P98" s="16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</row>
    <row r="99" spans="1:52" ht="13.05" customHeight="1" x14ac:dyDescent="0.3">
      <c r="A99" s="13"/>
      <c r="B99" s="34" t="str">
        <f t="shared" si="5"/>
        <v/>
      </c>
      <c r="C99" s="13"/>
      <c r="D99" s="13"/>
      <c r="E99" s="13"/>
      <c r="F99" s="38"/>
      <c r="G99" s="16"/>
      <c r="H99" s="13"/>
      <c r="I99" s="13"/>
      <c r="J99" s="13"/>
      <c r="K99" s="13"/>
      <c r="L99" s="16"/>
      <c r="M99" s="113"/>
      <c r="N99" s="13"/>
      <c r="O99" s="13"/>
      <c r="P99" s="16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</row>
    <row r="100" spans="1:52" ht="13.05" customHeight="1" x14ac:dyDescent="0.3">
      <c r="A100" s="13"/>
      <c r="B100" s="34" t="str">
        <f t="shared" si="5"/>
        <v/>
      </c>
      <c r="C100" s="13"/>
      <c r="D100" s="13"/>
      <c r="E100" s="13"/>
      <c r="F100" s="38"/>
      <c r="G100" s="16"/>
      <c r="H100" s="13"/>
      <c r="I100" s="13"/>
      <c r="J100" s="13"/>
      <c r="K100" s="13"/>
      <c r="L100" s="16"/>
      <c r="M100" s="113"/>
      <c r="N100" s="13"/>
      <c r="O100" s="13"/>
      <c r="P100" s="16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</row>
    <row r="101" spans="1:52" ht="13.05" customHeight="1" x14ac:dyDescent="0.3">
      <c r="A101" s="13"/>
      <c r="B101" s="34" t="str">
        <f t="shared" si="5"/>
        <v/>
      </c>
      <c r="C101" s="13"/>
      <c r="D101" s="13"/>
      <c r="E101" s="13"/>
      <c r="F101" s="38"/>
      <c r="G101" s="16"/>
      <c r="H101" s="13"/>
      <c r="I101" s="13"/>
      <c r="J101" s="13"/>
      <c r="K101" s="13"/>
      <c r="L101" s="16"/>
      <c r="M101" s="113"/>
      <c r="N101" s="13"/>
      <c r="O101" s="13"/>
      <c r="P101" s="16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</row>
    <row r="102" spans="1:52" ht="13.05" customHeight="1" x14ac:dyDescent="0.3">
      <c r="A102" s="13"/>
      <c r="B102" s="34" t="str">
        <f t="shared" si="5"/>
        <v/>
      </c>
      <c r="C102" s="13"/>
      <c r="D102" s="13"/>
      <c r="E102" s="13"/>
      <c r="F102" s="38"/>
      <c r="G102" s="16"/>
      <c r="H102" s="13"/>
      <c r="I102" s="13"/>
      <c r="J102" s="13"/>
      <c r="K102" s="13"/>
      <c r="L102" s="16"/>
      <c r="M102" s="113"/>
      <c r="N102" s="13"/>
      <c r="O102" s="13"/>
      <c r="P102" s="16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</row>
    <row r="103" spans="1:52" ht="13.05" customHeight="1" x14ac:dyDescent="0.3">
      <c r="A103" s="13"/>
      <c r="B103" s="34" t="str">
        <f t="shared" si="5"/>
        <v/>
      </c>
      <c r="C103" s="13"/>
      <c r="D103" s="13"/>
      <c r="E103" s="13"/>
      <c r="F103" s="38"/>
      <c r="G103" s="16"/>
      <c r="H103" s="13"/>
      <c r="I103" s="13"/>
      <c r="J103" s="13"/>
      <c r="K103" s="13"/>
      <c r="L103" s="16"/>
      <c r="M103" s="113"/>
      <c r="N103" s="13"/>
      <c r="O103" s="13"/>
      <c r="P103" s="16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</row>
    <row r="104" spans="1:52" ht="13.05" customHeight="1" x14ac:dyDescent="0.3">
      <c r="A104" s="13"/>
      <c r="B104" s="34" t="str">
        <f t="shared" si="5"/>
        <v/>
      </c>
      <c r="C104" s="13"/>
      <c r="D104" s="13"/>
      <c r="E104" s="13"/>
      <c r="F104" s="38"/>
      <c r="G104" s="16"/>
      <c r="H104" s="13"/>
      <c r="I104" s="13"/>
      <c r="J104" s="13"/>
      <c r="K104" s="13"/>
      <c r="L104" s="16"/>
      <c r="M104" s="113"/>
      <c r="N104" s="13"/>
      <c r="O104" s="13"/>
      <c r="P104" s="16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</row>
    <row r="105" spans="1:52" ht="13.05" customHeight="1" x14ac:dyDescent="0.3">
      <c r="A105" s="13"/>
      <c r="B105" s="34" t="str">
        <f t="shared" si="5"/>
        <v/>
      </c>
      <c r="C105" s="13"/>
      <c r="D105" s="13"/>
      <c r="E105" s="13"/>
      <c r="F105" s="38"/>
      <c r="G105" s="16"/>
      <c r="H105" s="13"/>
      <c r="I105" s="13"/>
      <c r="J105" s="13"/>
      <c r="K105" s="13"/>
      <c r="L105" s="16"/>
      <c r="M105" s="113"/>
      <c r="N105" s="13"/>
      <c r="O105" s="13"/>
      <c r="P105" s="16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</row>
    <row r="106" spans="1:52" ht="13.05" customHeight="1" x14ac:dyDescent="0.3">
      <c r="A106" s="13"/>
      <c r="B106" s="34" t="str">
        <f t="shared" si="5"/>
        <v/>
      </c>
      <c r="C106" s="13"/>
      <c r="D106" s="13"/>
      <c r="E106" s="13"/>
      <c r="F106" s="38"/>
      <c r="G106" s="16"/>
      <c r="H106" s="13"/>
      <c r="I106" s="13"/>
      <c r="J106" s="13"/>
      <c r="K106" s="13"/>
      <c r="L106" s="16"/>
      <c r="M106" s="113"/>
      <c r="N106" s="13"/>
      <c r="O106" s="13"/>
      <c r="P106" s="16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</row>
    <row r="107" spans="1:52" ht="13.05" customHeight="1" x14ac:dyDescent="0.3">
      <c r="A107" s="13"/>
      <c r="B107" s="34" t="str">
        <f t="shared" si="5"/>
        <v/>
      </c>
      <c r="C107" s="13"/>
      <c r="D107" s="13"/>
      <c r="E107" s="13"/>
      <c r="F107" s="38"/>
      <c r="G107" s="16"/>
      <c r="H107" s="13"/>
      <c r="I107" s="13"/>
      <c r="J107" s="13"/>
      <c r="K107" s="13"/>
      <c r="L107" s="16"/>
      <c r="M107" s="113"/>
      <c r="N107" s="13"/>
      <c r="O107" s="13"/>
      <c r="P107" s="16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</row>
    <row r="108" spans="1:52" ht="13.05" customHeight="1" x14ac:dyDescent="0.3">
      <c r="A108" s="13"/>
      <c r="B108" s="34" t="str">
        <f t="shared" si="5"/>
        <v/>
      </c>
      <c r="C108" s="13"/>
      <c r="D108" s="13"/>
      <c r="E108" s="13"/>
      <c r="F108" s="38"/>
      <c r="G108" s="16"/>
      <c r="H108" s="13"/>
      <c r="I108" s="13"/>
      <c r="J108" s="13"/>
      <c r="K108" s="13"/>
      <c r="L108" s="16"/>
      <c r="M108" s="113"/>
      <c r="N108" s="13"/>
      <c r="O108" s="13"/>
      <c r="P108" s="16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</row>
    <row r="109" spans="1:52" ht="13.05" customHeight="1" x14ac:dyDescent="0.3">
      <c r="A109" s="13"/>
      <c r="B109" s="34" t="str">
        <f t="shared" si="5"/>
        <v/>
      </c>
      <c r="C109" s="13"/>
      <c r="D109" s="13"/>
      <c r="E109" s="13"/>
      <c r="F109" s="38"/>
      <c r="G109" s="16"/>
      <c r="H109" s="13"/>
      <c r="I109" s="13"/>
      <c r="J109" s="13"/>
      <c r="K109" s="13"/>
      <c r="L109" s="16"/>
      <c r="M109" s="113"/>
      <c r="N109" s="13"/>
      <c r="O109" s="13"/>
      <c r="P109" s="16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</row>
    <row r="110" spans="1:52" ht="13.05" customHeight="1" x14ac:dyDescent="0.3">
      <c r="A110" s="13"/>
      <c r="B110" s="34" t="str">
        <f t="shared" si="5"/>
        <v/>
      </c>
      <c r="C110" s="13"/>
      <c r="D110" s="13"/>
      <c r="E110" s="13"/>
      <c r="F110" s="38"/>
      <c r="G110" s="16"/>
      <c r="H110" s="13"/>
      <c r="I110" s="13"/>
      <c r="J110" s="13"/>
      <c r="K110" s="13"/>
      <c r="L110" s="16"/>
      <c r="M110" s="113"/>
      <c r="N110" s="13"/>
      <c r="O110" s="13"/>
      <c r="P110" s="16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</row>
    <row r="111" spans="1:52" ht="13.05" customHeight="1" x14ac:dyDescent="0.3">
      <c r="A111" s="13"/>
      <c r="B111" s="34" t="str">
        <f t="shared" si="5"/>
        <v/>
      </c>
      <c r="C111" s="13"/>
      <c r="D111" s="13"/>
      <c r="E111" s="13"/>
      <c r="F111" s="38"/>
      <c r="G111" s="16"/>
      <c r="H111" s="13"/>
      <c r="I111" s="13"/>
      <c r="J111" s="13"/>
      <c r="K111" s="13"/>
      <c r="L111" s="16"/>
      <c r="M111" s="113"/>
      <c r="N111" s="13"/>
      <c r="O111" s="13"/>
      <c r="P111" s="16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</row>
    <row r="112" spans="1:52" ht="13.05" customHeight="1" x14ac:dyDescent="0.3">
      <c r="A112" s="13"/>
      <c r="B112" s="34" t="str">
        <f t="shared" si="5"/>
        <v/>
      </c>
      <c r="C112" s="13"/>
      <c r="D112" s="13"/>
      <c r="E112" s="13"/>
      <c r="F112" s="38"/>
      <c r="G112" s="16"/>
      <c r="H112" s="13"/>
      <c r="I112" s="13"/>
      <c r="J112" s="13"/>
      <c r="K112" s="13"/>
      <c r="L112" s="16"/>
      <c r="M112" s="113"/>
      <c r="N112" s="13"/>
      <c r="O112" s="13"/>
      <c r="P112" s="16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</row>
    <row r="113" spans="1:52" ht="13.05" customHeight="1" x14ac:dyDescent="0.3">
      <c r="A113" s="13"/>
      <c r="B113" s="34" t="str">
        <f t="shared" si="5"/>
        <v/>
      </c>
      <c r="C113" s="13"/>
      <c r="D113" s="13"/>
      <c r="E113" s="13"/>
      <c r="F113" s="38"/>
      <c r="G113" s="16"/>
      <c r="H113" s="13"/>
      <c r="I113" s="13"/>
      <c r="J113" s="13"/>
      <c r="K113" s="13"/>
      <c r="L113" s="16"/>
      <c r="M113" s="113"/>
      <c r="N113" s="13"/>
      <c r="O113" s="13"/>
      <c r="P113" s="16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</row>
    <row r="114" spans="1:52" ht="13.05" customHeight="1" x14ac:dyDescent="0.3">
      <c r="A114" s="13"/>
      <c r="B114" s="34" t="str">
        <f t="shared" si="5"/>
        <v/>
      </c>
      <c r="C114" s="13"/>
      <c r="D114" s="13"/>
      <c r="E114" s="13"/>
      <c r="F114" s="38"/>
      <c r="G114" s="16"/>
      <c r="H114" s="13"/>
      <c r="I114" s="13"/>
      <c r="J114" s="13"/>
      <c r="K114" s="13"/>
      <c r="L114" s="16"/>
      <c r="M114" s="113"/>
      <c r="N114" s="13"/>
      <c r="O114" s="13"/>
      <c r="P114" s="16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</row>
    <row r="115" spans="1:52" ht="13.05" customHeight="1" x14ac:dyDescent="0.3">
      <c r="A115" s="13"/>
      <c r="B115" s="34" t="str">
        <f t="shared" si="5"/>
        <v/>
      </c>
      <c r="C115" s="13"/>
      <c r="D115" s="13"/>
      <c r="E115" s="13"/>
      <c r="F115" s="38"/>
      <c r="G115" s="16"/>
      <c r="H115" s="13"/>
      <c r="I115" s="13"/>
      <c r="J115" s="13"/>
      <c r="K115" s="13"/>
      <c r="L115" s="16"/>
      <c r="M115" s="113"/>
      <c r="N115" s="13"/>
      <c r="O115" s="13"/>
      <c r="P115" s="16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</row>
    <row r="116" spans="1:52" ht="13.05" customHeight="1" x14ac:dyDescent="0.3">
      <c r="A116" s="13"/>
      <c r="B116" s="34" t="str">
        <f t="shared" si="5"/>
        <v/>
      </c>
      <c r="C116" s="13"/>
      <c r="D116" s="13"/>
      <c r="E116" s="13"/>
      <c r="F116" s="38"/>
      <c r="G116" s="16"/>
      <c r="H116" s="13"/>
      <c r="I116" s="13"/>
      <c r="J116" s="13"/>
      <c r="K116" s="13"/>
      <c r="L116" s="16"/>
      <c r="M116" s="113"/>
      <c r="N116" s="13"/>
      <c r="O116" s="13"/>
      <c r="P116" s="16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</row>
    <row r="117" spans="1:52" ht="13.05" customHeight="1" x14ac:dyDescent="0.3">
      <c r="A117" s="13"/>
      <c r="B117" s="34" t="str">
        <f t="shared" si="5"/>
        <v/>
      </c>
      <c r="C117" s="13"/>
      <c r="D117" s="13"/>
      <c r="E117" s="13"/>
      <c r="F117" s="38"/>
      <c r="G117" s="16"/>
      <c r="H117" s="13"/>
      <c r="I117" s="13"/>
      <c r="J117" s="13"/>
      <c r="K117" s="13"/>
      <c r="L117" s="16"/>
      <c r="M117" s="113"/>
      <c r="N117" s="13"/>
      <c r="O117" s="13"/>
      <c r="P117" s="16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</row>
    <row r="118" spans="1:52" ht="13.05" customHeight="1" x14ac:dyDescent="0.3">
      <c r="A118" s="13"/>
      <c r="B118" s="34" t="str">
        <f t="shared" si="5"/>
        <v/>
      </c>
      <c r="C118" s="13"/>
      <c r="D118" s="13"/>
      <c r="E118" s="13"/>
      <c r="F118" s="38"/>
      <c r="G118" s="16"/>
      <c r="H118" s="13"/>
      <c r="I118" s="13"/>
      <c r="J118" s="13"/>
      <c r="K118" s="13"/>
      <c r="L118" s="16"/>
      <c r="M118" s="113"/>
      <c r="N118" s="13"/>
      <c r="O118" s="13"/>
      <c r="P118" s="16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</row>
    <row r="119" spans="1:52" ht="13.05" customHeight="1" x14ac:dyDescent="0.3">
      <c r="A119" s="13"/>
      <c r="B119" s="34" t="str">
        <f t="shared" si="5"/>
        <v/>
      </c>
      <c r="C119" s="13"/>
      <c r="D119" s="13"/>
      <c r="E119" s="13"/>
      <c r="F119" s="38"/>
      <c r="G119" s="16"/>
      <c r="H119" s="13"/>
      <c r="I119" s="13"/>
      <c r="J119" s="13"/>
      <c r="K119" s="13"/>
      <c r="L119" s="16"/>
      <c r="M119" s="113"/>
      <c r="N119" s="13"/>
      <c r="O119" s="13"/>
      <c r="P119" s="16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</row>
    <row r="120" spans="1:52" ht="13.05" customHeight="1" x14ac:dyDescent="0.3">
      <c r="A120" s="13"/>
      <c r="B120" s="34" t="str">
        <f t="shared" si="5"/>
        <v/>
      </c>
      <c r="C120" s="13"/>
      <c r="D120" s="13"/>
      <c r="E120" s="13"/>
      <c r="F120" s="38"/>
      <c r="G120" s="16"/>
      <c r="H120" s="13"/>
      <c r="I120" s="13"/>
      <c r="J120" s="13"/>
      <c r="K120" s="13"/>
      <c r="L120" s="16"/>
      <c r="M120" s="113"/>
      <c r="N120" s="13"/>
      <c r="O120" s="13"/>
      <c r="P120" s="16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</row>
    <row r="121" spans="1:52" ht="13.05" customHeight="1" x14ac:dyDescent="0.3">
      <c r="A121" s="13"/>
      <c r="B121" s="34" t="str">
        <f t="shared" si="5"/>
        <v/>
      </c>
      <c r="C121" s="13"/>
      <c r="D121" s="13"/>
      <c r="E121" s="13"/>
      <c r="F121" s="38"/>
      <c r="G121" s="16"/>
      <c r="H121" s="13"/>
      <c r="I121" s="13"/>
      <c r="J121" s="13"/>
      <c r="K121" s="13"/>
      <c r="L121" s="16"/>
      <c r="M121" s="113"/>
      <c r="N121" s="13"/>
      <c r="O121" s="13"/>
      <c r="P121" s="16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</row>
    <row r="122" spans="1:52" ht="13.05" customHeight="1" x14ac:dyDescent="0.3">
      <c r="A122" s="13"/>
      <c r="B122" s="34" t="str">
        <f t="shared" si="5"/>
        <v/>
      </c>
      <c r="C122" s="13"/>
      <c r="D122" s="13"/>
      <c r="E122" s="13"/>
      <c r="F122" s="38"/>
      <c r="G122" s="16"/>
      <c r="H122" s="13"/>
      <c r="I122" s="13"/>
      <c r="J122" s="13"/>
      <c r="K122" s="13"/>
      <c r="L122" s="16"/>
      <c r="M122" s="113"/>
      <c r="N122" s="13"/>
      <c r="O122" s="13"/>
      <c r="P122" s="16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</row>
    <row r="123" spans="1:52" ht="13.05" customHeight="1" x14ac:dyDescent="0.3">
      <c r="A123" s="13"/>
      <c r="B123" s="34" t="str">
        <f t="shared" si="5"/>
        <v/>
      </c>
      <c r="C123" s="13"/>
      <c r="D123" s="13"/>
      <c r="E123" s="13"/>
      <c r="F123" s="38"/>
      <c r="G123" s="16"/>
      <c r="H123" s="13"/>
      <c r="I123" s="13"/>
      <c r="J123" s="13"/>
      <c r="K123" s="13"/>
      <c r="L123" s="16"/>
      <c r="M123" s="113"/>
      <c r="N123" s="13"/>
      <c r="O123" s="13"/>
      <c r="P123" s="16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</row>
    <row r="124" spans="1:52" ht="13.05" customHeight="1" x14ac:dyDescent="0.3">
      <c r="A124" s="13"/>
      <c r="B124" s="34" t="str">
        <f t="shared" si="5"/>
        <v/>
      </c>
      <c r="C124" s="13"/>
      <c r="D124" s="13"/>
      <c r="E124" s="13"/>
      <c r="F124" s="38"/>
      <c r="G124" s="16"/>
      <c r="H124" s="13"/>
      <c r="I124" s="13"/>
      <c r="J124" s="13"/>
      <c r="K124" s="13"/>
      <c r="L124" s="16"/>
      <c r="M124" s="113"/>
      <c r="N124" s="13"/>
      <c r="O124" s="13"/>
      <c r="P124" s="16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</row>
    <row r="125" spans="1:52" ht="13.05" customHeight="1" x14ac:dyDescent="0.3">
      <c r="A125" s="13"/>
      <c r="B125" s="34" t="str">
        <f t="shared" si="5"/>
        <v/>
      </c>
      <c r="C125" s="13"/>
      <c r="D125" s="13"/>
      <c r="E125" s="13"/>
      <c r="F125" s="38"/>
      <c r="G125" s="16"/>
      <c r="H125" s="13"/>
      <c r="I125" s="13"/>
      <c r="J125" s="13"/>
      <c r="K125" s="13"/>
      <c r="L125" s="16"/>
      <c r="M125" s="113"/>
      <c r="N125" s="13"/>
      <c r="O125" s="13"/>
      <c r="P125" s="16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</row>
    <row r="126" spans="1:52" ht="13.05" customHeight="1" x14ac:dyDescent="0.3">
      <c r="A126" s="13"/>
      <c r="B126" s="34" t="str">
        <f t="shared" si="5"/>
        <v/>
      </c>
      <c r="C126" s="13"/>
      <c r="D126" s="13"/>
      <c r="E126" s="13"/>
      <c r="F126" s="38"/>
      <c r="G126" s="16"/>
      <c r="H126" s="13"/>
      <c r="I126" s="13"/>
      <c r="J126" s="13"/>
      <c r="K126" s="13"/>
      <c r="L126" s="16"/>
      <c r="M126" s="113"/>
      <c r="N126" s="13"/>
      <c r="O126" s="13"/>
      <c r="P126" s="16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</row>
    <row r="127" spans="1:52" ht="13.05" customHeight="1" x14ac:dyDescent="0.3">
      <c r="A127" s="13"/>
      <c r="B127" s="34" t="str">
        <f t="shared" si="5"/>
        <v/>
      </c>
      <c r="C127" s="13"/>
      <c r="D127" s="13"/>
      <c r="E127" s="13"/>
      <c r="F127" s="38"/>
      <c r="G127" s="16"/>
      <c r="H127" s="13"/>
      <c r="I127" s="13"/>
      <c r="J127" s="13"/>
      <c r="K127" s="13"/>
      <c r="L127" s="16"/>
      <c r="M127" s="113"/>
      <c r="N127" s="13"/>
      <c r="O127" s="13"/>
      <c r="P127" s="16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</row>
    <row r="128" spans="1:52" ht="13.05" customHeight="1" x14ac:dyDescent="0.3">
      <c r="A128" s="13"/>
      <c r="B128" s="34" t="str">
        <f t="shared" si="5"/>
        <v/>
      </c>
      <c r="C128" s="13"/>
      <c r="D128" s="13"/>
      <c r="E128" s="13"/>
      <c r="F128" s="38"/>
      <c r="G128" s="16"/>
      <c r="H128" s="13"/>
      <c r="I128" s="13"/>
      <c r="J128" s="13"/>
      <c r="K128" s="13"/>
      <c r="L128" s="16"/>
      <c r="M128" s="113"/>
      <c r="N128" s="13"/>
      <c r="O128" s="13"/>
      <c r="P128" s="16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</row>
    <row r="129" spans="1:52" ht="13.05" customHeight="1" x14ac:dyDescent="0.3">
      <c r="A129" s="13"/>
      <c r="B129" s="34" t="str">
        <f t="shared" si="5"/>
        <v/>
      </c>
      <c r="C129" s="13"/>
      <c r="D129" s="13"/>
      <c r="E129" s="13"/>
      <c r="F129" s="38"/>
      <c r="G129" s="16"/>
      <c r="H129" s="13"/>
      <c r="I129" s="13"/>
      <c r="J129" s="13"/>
      <c r="K129" s="13"/>
      <c r="L129" s="16"/>
      <c r="M129" s="113"/>
      <c r="N129" s="13"/>
      <c r="O129" s="13"/>
      <c r="P129" s="16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</row>
    <row r="130" spans="1:52" ht="13.05" customHeight="1" x14ac:dyDescent="0.3">
      <c r="A130" s="13"/>
      <c r="B130" s="34" t="str">
        <f t="shared" ref="B130:B151" si="6">IF(COUNTA(C130,D130,E130,H130,I130)=0,"","R"&amp;TEXT(ROW()-5,"000"))</f>
        <v/>
      </c>
      <c r="C130" s="13"/>
      <c r="D130" s="13"/>
      <c r="E130" s="13"/>
      <c r="F130" s="38"/>
      <c r="G130" s="16"/>
      <c r="H130" s="13"/>
      <c r="I130" s="13"/>
      <c r="J130" s="13"/>
      <c r="K130" s="13"/>
      <c r="L130" s="16"/>
      <c r="M130" s="113"/>
      <c r="N130" s="13"/>
      <c r="O130" s="13"/>
      <c r="P130" s="16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</row>
    <row r="131" spans="1:52" ht="13.05" customHeight="1" x14ac:dyDescent="0.3">
      <c r="A131" s="13"/>
      <c r="B131" s="34" t="str">
        <f t="shared" si="6"/>
        <v/>
      </c>
      <c r="C131" s="13"/>
      <c r="D131" s="13"/>
      <c r="E131" s="13"/>
      <c r="F131" s="38"/>
      <c r="G131" s="16"/>
      <c r="H131" s="13"/>
      <c r="I131" s="13"/>
      <c r="J131" s="13"/>
      <c r="K131" s="13"/>
      <c r="L131" s="16"/>
      <c r="M131" s="113"/>
      <c r="N131" s="13"/>
      <c r="O131" s="13"/>
      <c r="P131" s="16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</row>
    <row r="132" spans="1:52" ht="13.05" customHeight="1" x14ac:dyDescent="0.3">
      <c r="A132" s="13"/>
      <c r="B132" s="34" t="str">
        <f t="shared" si="6"/>
        <v/>
      </c>
      <c r="C132" s="13"/>
      <c r="D132" s="13"/>
      <c r="E132" s="13"/>
      <c r="F132" s="38"/>
      <c r="G132" s="16"/>
      <c r="H132" s="13"/>
      <c r="I132" s="13"/>
      <c r="J132" s="13"/>
      <c r="K132" s="13"/>
      <c r="L132" s="16"/>
      <c r="M132" s="113"/>
      <c r="N132" s="13"/>
      <c r="O132" s="13"/>
      <c r="P132" s="16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</row>
    <row r="133" spans="1:52" ht="13.05" customHeight="1" x14ac:dyDescent="0.3">
      <c r="A133" s="13"/>
      <c r="B133" s="34" t="str">
        <f t="shared" si="6"/>
        <v/>
      </c>
      <c r="C133" s="13"/>
      <c r="D133" s="13"/>
      <c r="E133" s="13"/>
      <c r="F133" s="38"/>
      <c r="G133" s="16"/>
      <c r="H133" s="13"/>
      <c r="I133" s="13"/>
      <c r="J133" s="13"/>
      <c r="K133" s="13"/>
      <c r="L133" s="16"/>
      <c r="M133" s="113"/>
      <c r="N133" s="13"/>
      <c r="O133" s="13"/>
      <c r="P133" s="16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</row>
    <row r="134" spans="1:52" ht="13.05" customHeight="1" x14ac:dyDescent="0.3">
      <c r="A134" s="13"/>
      <c r="B134" s="34" t="str">
        <f t="shared" si="6"/>
        <v/>
      </c>
      <c r="C134" s="13"/>
      <c r="D134" s="13"/>
      <c r="E134" s="13"/>
      <c r="F134" s="38"/>
      <c r="G134" s="16"/>
      <c r="H134" s="13"/>
      <c r="I134" s="13"/>
      <c r="J134" s="13"/>
      <c r="K134" s="13"/>
      <c r="L134" s="16"/>
      <c r="M134" s="113"/>
      <c r="N134" s="13"/>
      <c r="O134" s="13"/>
      <c r="P134" s="16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</row>
    <row r="135" spans="1:52" ht="13.05" customHeight="1" x14ac:dyDescent="0.3">
      <c r="A135" s="13"/>
      <c r="B135" s="34" t="str">
        <f t="shared" si="6"/>
        <v/>
      </c>
      <c r="C135" s="13"/>
      <c r="D135" s="13"/>
      <c r="E135" s="13"/>
      <c r="F135" s="38"/>
      <c r="G135" s="16"/>
      <c r="H135" s="13"/>
      <c r="I135" s="13"/>
      <c r="J135" s="13"/>
      <c r="K135" s="13"/>
      <c r="L135" s="16"/>
      <c r="M135" s="113"/>
      <c r="N135" s="13"/>
      <c r="O135" s="13"/>
      <c r="P135" s="16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</row>
    <row r="136" spans="1:52" ht="13.05" customHeight="1" x14ac:dyDescent="0.3">
      <c r="A136" s="13"/>
      <c r="B136" s="34" t="str">
        <f t="shared" si="6"/>
        <v/>
      </c>
      <c r="C136" s="13"/>
      <c r="D136" s="13"/>
      <c r="E136" s="13"/>
      <c r="F136" s="38"/>
      <c r="G136" s="16"/>
      <c r="H136" s="13"/>
      <c r="I136" s="13"/>
      <c r="J136" s="13"/>
      <c r="K136" s="13"/>
      <c r="L136" s="16"/>
      <c r="M136" s="113"/>
      <c r="N136" s="13"/>
      <c r="O136" s="13"/>
      <c r="P136" s="16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</row>
    <row r="137" spans="1:52" ht="13.05" customHeight="1" x14ac:dyDescent="0.3">
      <c r="A137" s="13"/>
      <c r="B137" s="34" t="str">
        <f t="shared" si="6"/>
        <v/>
      </c>
      <c r="C137" s="13"/>
      <c r="D137" s="13"/>
      <c r="E137" s="13"/>
      <c r="F137" s="38"/>
      <c r="G137" s="16"/>
      <c r="H137" s="13"/>
      <c r="I137" s="13"/>
      <c r="J137" s="13"/>
      <c r="K137" s="13"/>
      <c r="L137" s="16"/>
      <c r="M137" s="113"/>
      <c r="N137" s="13"/>
      <c r="O137" s="13"/>
      <c r="P137" s="16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</row>
    <row r="138" spans="1:52" ht="13.05" customHeight="1" x14ac:dyDescent="0.3">
      <c r="A138" s="13"/>
      <c r="B138" s="34" t="str">
        <f t="shared" si="6"/>
        <v/>
      </c>
      <c r="C138" s="13"/>
      <c r="D138" s="13"/>
      <c r="E138" s="13"/>
      <c r="F138" s="38"/>
      <c r="G138" s="16"/>
      <c r="H138" s="13"/>
      <c r="I138" s="13"/>
      <c r="J138" s="13"/>
      <c r="K138" s="13"/>
      <c r="L138" s="16"/>
      <c r="M138" s="113"/>
      <c r="N138" s="13"/>
      <c r="O138" s="13"/>
      <c r="P138" s="16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</row>
    <row r="139" spans="1:52" ht="13.05" customHeight="1" x14ac:dyDescent="0.3">
      <c r="A139" s="13"/>
      <c r="B139" s="34" t="str">
        <f t="shared" si="6"/>
        <v/>
      </c>
      <c r="C139" s="13"/>
      <c r="D139" s="13"/>
      <c r="E139" s="13"/>
      <c r="F139" s="38"/>
      <c r="G139" s="16"/>
      <c r="H139" s="13"/>
      <c r="I139" s="13"/>
      <c r="J139" s="13"/>
      <c r="K139" s="13"/>
      <c r="L139" s="16"/>
      <c r="M139" s="113"/>
      <c r="N139" s="13"/>
      <c r="O139" s="13"/>
      <c r="P139" s="16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</row>
    <row r="140" spans="1:52" ht="13.05" customHeight="1" x14ac:dyDescent="0.3">
      <c r="A140" s="13"/>
      <c r="B140" s="34" t="str">
        <f t="shared" si="6"/>
        <v/>
      </c>
      <c r="C140" s="13"/>
      <c r="D140" s="13"/>
      <c r="E140" s="13"/>
      <c r="F140" s="38"/>
      <c r="G140" s="16"/>
      <c r="H140" s="13"/>
      <c r="I140" s="13"/>
      <c r="J140" s="13"/>
      <c r="K140" s="13"/>
      <c r="L140" s="16"/>
      <c r="M140" s="113"/>
      <c r="N140" s="13"/>
      <c r="O140" s="13"/>
      <c r="P140" s="16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</row>
    <row r="141" spans="1:52" ht="13.05" customHeight="1" x14ac:dyDescent="0.3">
      <c r="A141" s="13"/>
      <c r="B141" s="34" t="str">
        <f t="shared" si="6"/>
        <v/>
      </c>
      <c r="C141" s="13"/>
      <c r="D141" s="13"/>
      <c r="E141" s="13"/>
      <c r="F141" s="38"/>
      <c r="G141" s="16"/>
      <c r="H141" s="13"/>
      <c r="I141" s="13"/>
      <c r="J141" s="13"/>
      <c r="K141" s="13"/>
      <c r="L141" s="16"/>
      <c r="M141" s="113"/>
      <c r="N141" s="13"/>
      <c r="O141" s="13"/>
      <c r="P141" s="16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</row>
    <row r="142" spans="1:52" ht="13.05" customHeight="1" x14ac:dyDescent="0.3">
      <c r="A142" s="13"/>
      <c r="B142" s="34" t="str">
        <f t="shared" si="6"/>
        <v/>
      </c>
      <c r="C142" s="13"/>
      <c r="D142" s="13"/>
      <c r="E142" s="13"/>
      <c r="F142" s="38"/>
      <c r="G142" s="16"/>
      <c r="H142" s="13"/>
      <c r="I142" s="13"/>
      <c r="J142" s="13"/>
      <c r="K142" s="13"/>
      <c r="L142" s="16"/>
      <c r="M142" s="113"/>
      <c r="N142" s="13"/>
      <c r="O142" s="13"/>
      <c r="P142" s="16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</row>
    <row r="143" spans="1:52" ht="13.05" customHeight="1" x14ac:dyDescent="0.3">
      <c r="A143" s="13"/>
      <c r="B143" s="34" t="str">
        <f t="shared" si="6"/>
        <v/>
      </c>
      <c r="C143" s="13"/>
      <c r="D143" s="13"/>
      <c r="E143" s="13"/>
      <c r="F143" s="38"/>
      <c r="G143" s="16"/>
      <c r="H143" s="13"/>
      <c r="I143" s="13"/>
      <c r="J143" s="13"/>
      <c r="K143" s="13"/>
      <c r="L143" s="16"/>
      <c r="M143" s="113"/>
      <c r="N143" s="13"/>
      <c r="O143" s="13"/>
      <c r="P143" s="16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</row>
    <row r="144" spans="1:52" ht="13.05" customHeight="1" x14ac:dyDescent="0.3">
      <c r="A144" s="13"/>
      <c r="B144" s="34" t="str">
        <f t="shared" si="6"/>
        <v/>
      </c>
      <c r="C144" s="13"/>
      <c r="D144" s="13"/>
      <c r="E144" s="13"/>
      <c r="F144" s="38"/>
      <c r="G144" s="16"/>
      <c r="H144" s="13"/>
      <c r="I144" s="13"/>
      <c r="J144" s="13"/>
      <c r="K144" s="13"/>
      <c r="L144" s="16"/>
      <c r="M144" s="113"/>
      <c r="N144" s="13"/>
      <c r="O144" s="13"/>
      <c r="P144" s="16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</row>
    <row r="145" spans="1:52" ht="13.05" customHeight="1" x14ac:dyDescent="0.3">
      <c r="A145" s="13"/>
      <c r="B145" s="34" t="str">
        <f t="shared" si="6"/>
        <v/>
      </c>
      <c r="C145" s="13"/>
      <c r="D145" s="13"/>
      <c r="E145" s="13"/>
      <c r="F145" s="38"/>
      <c r="G145" s="16"/>
      <c r="H145" s="13"/>
      <c r="I145" s="13"/>
      <c r="J145" s="13"/>
      <c r="K145" s="13"/>
      <c r="L145" s="16"/>
      <c r="M145" s="113"/>
      <c r="N145" s="13"/>
      <c r="O145" s="13"/>
      <c r="P145" s="16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</row>
    <row r="146" spans="1:52" ht="13.05" customHeight="1" x14ac:dyDescent="0.3">
      <c r="A146" s="13"/>
      <c r="B146" s="34" t="str">
        <f t="shared" si="6"/>
        <v/>
      </c>
      <c r="C146" s="13"/>
      <c r="D146" s="13"/>
      <c r="E146" s="13"/>
      <c r="F146" s="38"/>
      <c r="G146" s="16"/>
      <c r="H146" s="13"/>
      <c r="I146" s="13"/>
      <c r="J146" s="13"/>
      <c r="K146" s="13"/>
      <c r="L146" s="16"/>
      <c r="M146" s="113"/>
      <c r="N146" s="13"/>
      <c r="O146" s="13"/>
      <c r="P146" s="16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</row>
    <row r="147" spans="1:52" ht="13.05" customHeight="1" x14ac:dyDescent="0.3">
      <c r="A147" s="13"/>
      <c r="B147" s="34" t="str">
        <f t="shared" si="6"/>
        <v/>
      </c>
      <c r="C147" s="13"/>
      <c r="D147" s="13"/>
      <c r="E147" s="13"/>
      <c r="F147" s="38"/>
      <c r="G147" s="16"/>
      <c r="H147" s="13"/>
      <c r="I147" s="13"/>
      <c r="J147" s="13"/>
      <c r="K147" s="13"/>
      <c r="L147" s="16"/>
      <c r="M147" s="113"/>
      <c r="N147" s="13"/>
      <c r="O147" s="13"/>
      <c r="P147" s="16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</row>
    <row r="148" spans="1:52" ht="13.05" customHeight="1" x14ac:dyDescent="0.3">
      <c r="A148" s="13"/>
      <c r="B148" s="34" t="str">
        <f t="shared" si="6"/>
        <v/>
      </c>
      <c r="C148" s="13"/>
      <c r="D148" s="13"/>
      <c r="E148" s="13"/>
      <c r="F148" s="38"/>
      <c r="G148" s="16"/>
      <c r="H148" s="13"/>
      <c r="I148" s="13"/>
      <c r="J148" s="13"/>
      <c r="K148" s="13"/>
      <c r="L148" s="16"/>
      <c r="M148" s="113"/>
      <c r="N148" s="13"/>
      <c r="O148" s="13"/>
      <c r="P148" s="16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</row>
    <row r="149" spans="1:52" ht="13.05" customHeight="1" x14ac:dyDescent="0.3">
      <c r="A149" s="13"/>
      <c r="B149" s="34" t="str">
        <f t="shared" si="6"/>
        <v/>
      </c>
      <c r="C149" s="13"/>
      <c r="D149" s="13"/>
      <c r="E149" s="13"/>
      <c r="F149" s="38"/>
      <c r="G149" s="16"/>
      <c r="H149" s="13"/>
      <c r="I149" s="13"/>
      <c r="J149" s="13"/>
      <c r="K149" s="13"/>
      <c r="L149" s="16"/>
      <c r="M149" s="113"/>
      <c r="N149" s="13"/>
      <c r="O149" s="13"/>
      <c r="P149" s="16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</row>
    <row r="150" spans="1:52" ht="13.05" customHeight="1" x14ac:dyDescent="0.3">
      <c r="A150" s="13"/>
      <c r="B150" s="34" t="str">
        <f t="shared" si="6"/>
        <v/>
      </c>
      <c r="C150" s="13"/>
      <c r="D150" s="13"/>
      <c r="E150" s="13"/>
      <c r="F150" s="38"/>
      <c r="G150" s="16"/>
      <c r="H150" s="13"/>
      <c r="I150" s="13"/>
      <c r="J150" s="13"/>
      <c r="K150" s="13"/>
      <c r="L150" s="16"/>
      <c r="M150" s="113"/>
      <c r="N150" s="13"/>
      <c r="O150" s="13"/>
      <c r="P150" s="16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</row>
    <row r="151" spans="1:52" ht="13.05" customHeight="1" x14ac:dyDescent="0.3">
      <c r="A151" s="13"/>
      <c r="B151" s="34" t="str">
        <f t="shared" si="6"/>
        <v/>
      </c>
      <c r="C151" s="13"/>
      <c r="D151" s="13"/>
      <c r="E151" s="13"/>
      <c r="F151" s="38"/>
      <c r="G151" s="16"/>
      <c r="H151" s="13"/>
      <c r="I151" s="13"/>
      <c r="J151" s="13"/>
      <c r="K151" s="13"/>
      <c r="L151" s="16"/>
      <c r="M151" s="113"/>
      <c r="N151" s="13"/>
      <c r="O151" s="13"/>
      <c r="P151" s="16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</row>
    <row r="152" spans="1:52" ht="13.05" customHeight="1" x14ac:dyDescent="0.3">
      <c r="A152" s="13"/>
      <c r="B152" s="13"/>
      <c r="C152" s="13"/>
      <c r="D152" s="13"/>
      <c r="E152" s="13"/>
      <c r="F152" s="38"/>
      <c r="G152" s="16"/>
      <c r="H152" s="13"/>
      <c r="I152" s="13"/>
      <c r="J152" s="13"/>
      <c r="K152" s="13"/>
      <c r="L152" s="16"/>
      <c r="M152" s="113"/>
      <c r="N152" s="13"/>
      <c r="O152" s="13"/>
      <c r="P152" s="16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</row>
    <row r="153" spans="1:52" ht="13.05" customHeight="1" x14ac:dyDescent="0.3">
      <c r="A153" s="13"/>
      <c r="B153" s="13"/>
      <c r="C153" s="13"/>
      <c r="D153" s="13"/>
      <c r="E153" s="13"/>
      <c r="F153" s="38"/>
      <c r="G153" s="16"/>
      <c r="H153" s="13"/>
      <c r="I153" s="13"/>
      <c r="J153" s="13"/>
      <c r="K153" s="13"/>
      <c r="L153" s="16"/>
      <c r="M153" s="113"/>
      <c r="N153" s="13"/>
      <c r="O153" s="13"/>
      <c r="P153" s="16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</row>
    <row r="154" spans="1:52" ht="13.05" customHeight="1" x14ac:dyDescent="0.3">
      <c r="A154" s="13"/>
      <c r="B154" s="13"/>
      <c r="C154" s="13"/>
      <c r="D154" s="13"/>
      <c r="E154" s="13"/>
      <c r="F154" s="38"/>
      <c r="G154" s="16"/>
      <c r="H154" s="13"/>
      <c r="I154" s="13"/>
      <c r="J154" s="13"/>
      <c r="K154" s="13"/>
      <c r="L154" s="16"/>
      <c r="M154" s="113"/>
      <c r="N154" s="13"/>
      <c r="O154" s="13"/>
      <c r="P154" s="16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</row>
    <row r="155" spans="1:52" ht="13.05" customHeight="1" x14ac:dyDescent="0.3">
      <c r="A155" s="13"/>
      <c r="B155" s="13"/>
      <c r="C155" s="13"/>
      <c r="D155" s="13"/>
      <c r="E155" s="13"/>
      <c r="F155" s="38"/>
      <c r="G155" s="16"/>
      <c r="H155" s="13"/>
      <c r="I155" s="13"/>
      <c r="J155" s="13"/>
      <c r="K155" s="13"/>
      <c r="L155" s="16"/>
      <c r="M155" s="113"/>
      <c r="N155" s="13"/>
      <c r="O155" s="13"/>
      <c r="P155" s="16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</row>
    <row r="156" spans="1:52" ht="13.05" customHeight="1" x14ac:dyDescent="0.3">
      <c r="A156" s="13"/>
      <c r="B156" s="13"/>
      <c r="C156" s="13"/>
      <c r="D156" s="13"/>
      <c r="E156" s="13"/>
      <c r="F156" s="38"/>
      <c r="G156" s="16"/>
      <c r="H156" s="13"/>
      <c r="I156" s="13"/>
      <c r="J156" s="13"/>
      <c r="K156" s="13"/>
      <c r="L156" s="16"/>
      <c r="M156" s="113"/>
      <c r="N156" s="13"/>
      <c r="O156" s="13"/>
      <c r="P156" s="16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</row>
    <row r="157" spans="1:52" ht="13.05" customHeight="1" x14ac:dyDescent="0.3">
      <c r="A157" s="13"/>
      <c r="B157" s="13"/>
      <c r="C157" s="13"/>
      <c r="D157" s="13"/>
      <c r="E157" s="13"/>
      <c r="F157" s="38"/>
      <c r="G157" s="16"/>
      <c r="H157" s="13"/>
      <c r="I157" s="13"/>
      <c r="J157" s="13"/>
      <c r="K157" s="13"/>
      <c r="L157" s="16"/>
      <c r="M157" s="113"/>
      <c r="N157" s="13"/>
      <c r="O157" s="13"/>
      <c r="P157" s="16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</row>
    <row r="158" spans="1:52" ht="13.05" customHeight="1" x14ac:dyDescent="0.3">
      <c r="A158" s="13"/>
      <c r="B158" s="13"/>
      <c r="C158" s="13"/>
      <c r="D158" s="13"/>
      <c r="E158" s="13"/>
      <c r="F158" s="38"/>
      <c r="G158" s="16"/>
      <c r="H158" s="13"/>
      <c r="I158" s="13"/>
      <c r="J158" s="13"/>
      <c r="K158" s="13"/>
      <c r="L158" s="16"/>
      <c r="M158" s="113"/>
      <c r="N158" s="13"/>
      <c r="O158" s="13"/>
      <c r="P158" s="16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</row>
    <row r="159" spans="1:52" ht="13.05" customHeight="1" x14ac:dyDescent="0.3">
      <c r="A159" s="13"/>
      <c r="B159" s="13"/>
      <c r="C159" s="13"/>
      <c r="D159" s="13"/>
      <c r="E159" s="13"/>
      <c r="F159" s="38"/>
      <c r="G159" s="16"/>
      <c r="H159" s="13"/>
      <c r="I159" s="13"/>
      <c r="J159" s="13"/>
      <c r="K159" s="13"/>
      <c r="L159" s="16"/>
      <c r="M159" s="113"/>
      <c r="N159" s="13"/>
      <c r="O159" s="13"/>
      <c r="P159" s="16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</row>
    <row r="160" spans="1:52" ht="13.05" customHeight="1" x14ac:dyDescent="0.3">
      <c r="A160" s="13"/>
      <c r="B160" s="13"/>
      <c r="C160" s="13"/>
      <c r="D160" s="13"/>
      <c r="E160" s="13"/>
      <c r="F160" s="38"/>
      <c r="G160" s="16"/>
      <c r="H160" s="13"/>
      <c r="I160" s="13"/>
      <c r="J160" s="13"/>
      <c r="K160" s="13"/>
      <c r="L160" s="16"/>
      <c r="M160" s="113"/>
      <c r="N160" s="13"/>
      <c r="O160" s="13"/>
      <c r="P160" s="16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</row>
    <row r="161" spans="1:52" ht="13.05" customHeight="1" x14ac:dyDescent="0.3">
      <c r="A161" s="13"/>
      <c r="B161" s="13"/>
      <c r="C161" s="13"/>
      <c r="D161" s="13"/>
      <c r="E161" s="13"/>
      <c r="F161" s="38"/>
      <c r="G161" s="16"/>
      <c r="H161" s="13"/>
      <c r="I161" s="13"/>
      <c r="J161" s="13"/>
      <c r="K161" s="13"/>
      <c r="L161" s="16"/>
      <c r="M161" s="113"/>
      <c r="N161" s="13"/>
      <c r="O161" s="13"/>
      <c r="P161" s="16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</row>
    <row r="162" spans="1:52" ht="13.05" customHeight="1" x14ac:dyDescent="0.3">
      <c r="A162" s="13"/>
      <c r="B162" s="13"/>
      <c r="C162" s="13"/>
      <c r="D162" s="13"/>
      <c r="E162" s="13"/>
      <c r="F162" s="38"/>
      <c r="G162" s="16"/>
      <c r="H162" s="13"/>
      <c r="I162" s="13"/>
      <c r="J162" s="13"/>
      <c r="K162" s="13"/>
      <c r="L162" s="16"/>
      <c r="M162" s="113"/>
      <c r="N162" s="13"/>
      <c r="O162" s="13"/>
      <c r="P162" s="16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</row>
    <row r="163" spans="1:52" ht="13.05" customHeight="1" x14ac:dyDescent="0.3">
      <c r="A163" s="13"/>
      <c r="B163" s="13"/>
      <c r="C163" s="13"/>
      <c r="D163" s="13"/>
      <c r="E163" s="13"/>
      <c r="F163" s="38"/>
      <c r="G163" s="16"/>
      <c r="H163" s="13"/>
      <c r="I163" s="13"/>
      <c r="J163" s="13"/>
      <c r="K163" s="13"/>
      <c r="L163" s="16"/>
      <c r="M163" s="113"/>
      <c r="N163" s="13"/>
      <c r="O163" s="13"/>
      <c r="P163" s="16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</row>
    <row r="164" spans="1:52" ht="13.05" customHeight="1" x14ac:dyDescent="0.3">
      <c r="A164" s="13"/>
      <c r="B164" s="13"/>
      <c r="C164" s="13"/>
      <c r="D164" s="13"/>
      <c r="E164" s="13"/>
      <c r="F164" s="38"/>
      <c r="G164" s="16"/>
      <c r="H164" s="13"/>
      <c r="I164" s="13"/>
      <c r="J164" s="13"/>
      <c r="K164" s="13"/>
      <c r="L164" s="16"/>
      <c r="M164" s="113"/>
      <c r="N164" s="13"/>
      <c r="O164" s="13"/>
      <c r="P164" s="16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</row>
    <row r="165" spans="1:52" ht="13.05" customHeight="1" x14ac:dyDescent="0.3">
      <c r="A165" s="13"/>
      <c r="B165" s="13"/>
      <c r="C165" s="13"/>
      <c r="D165" s="13"/>
      <c r="E165" s="13"/>
      <c r="F165" s="38"/>
      <c r="G165" s="16"/>
      <c r="H165" s="13"/>
      <c r="I165" s="13"/>
      <c r="J165" s="13"/>
      <c r="K165" s="13"/>
      <c r="L165" s="16"/>
      <c r="M165" s="113"/>
      <c r="N165" s="13"/>
      <c r="O165" s="13"/>
      <c r="P165" s="16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</row>
    <row r="166" spans="1:52" ht="13.05" customHeight="1" x14ac:dyDescent="0.3">
      <c r="A166" s="13"/>
      <c r="B166" s="13"/>
      <c r="C166" s="13"/>
      <c r="D166" s="13"/>
      <c r="E166" s="13"/>
      <c r="F166" s="38"/>
      <c r="G166" s="16"/>
      <c r="H166" s="13"/>
      <c r="I166" s="13"/>
      <c r="J166" s="13"/>
      <c r="K166" s="13"/>
      <c r="L166" s="16"/>
      <c r="M166" s="113"/>
      <c r="N166" s="13"/>
      <c r="O166" s="13"/>
      <c r="P166" s="16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</row>
    <row r="167" spans="1:52" ht="13.05" customHeight="1" x14ac:dyDescent="0.3">
      <c r="A167" s="13"/>
      <c r="B167" s="13"/>
      <c r="C167" s="13"/>
      <c r="D167" s="13"/>
      <c r="E167" s="13"/>
      <c r="F167" s="38"/>
      <c r="G167" s="16"/>
      <c r="H167" s="13"/>
      <c r="I167" s="13"/>
      <c r="J167" s="13"/>
      <c r="K167" s="13"/>
      <c r="L167" s="16"/>
      <c r="M167" s="113"/>
      <c r="N167" s="13"/>
      <c r="O167" s="13"/>
      <c r="P167" s="16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</row>
    <row r="168" spans="1:52" ht="13.05" customHeight="1" x14ac:dyDescent="0.3">
      <c r="A168" s="13"/>
      <c r="B168" s="13"/>
      <c r="C168" s="13"/>
      <c r="D168" s="13"/>
      <c r="E168" s="13"/>
      <c r="F168" s="38"/>
      <c r="G168" s="16"/>
      <c r="H168" s="13"/>
      <c r="I168" s="13"/>
      <c r="J168" s="13"/>
      <c r="K168" s="13"/>
      <c r="L168" s="16"/>
      <c r="M168" s="113"/>
      <c r="N168" s="13"/>
      <c r="O168" s="13"/>
      <c r="P168" s="16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</row>
    <row r="169" spans="1:52" ht="13.05" customHeight="1" x14ac:dyDescent="0.3">
      <c r="A169" s="13"/>
      <c r="B169" s="13"/>
      <c r="C169" s="13"/>
      <c r="D169" s="13"/>
      <c r="E169" s="13"/>
      <c r="F169" s="38"/>
      <c r="G169" s="16"/>
      <c r="H169" s="13"/>
      <c r="I169" s="13"/>
      <c r="J169" s="13"/>
      <c r="K169" s="13"/>
      <c r="L169" s="16"/>
      <c r="M169" s="113"/>
      <c r="N169" s="13"/>
      <c r="O169" s="13"/>
      <c r="P169" s="16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</row>
    <row r="170" spans="1:52" ht="13.05" customHeight="1" x14ac:dyDescent="0.3">
      <c r="A170" s="13"/>
      <c r="B170" s="13"/>
      <c r="C170" s="13"/>
      <c r="D170" s="13"/>
      <c r="E170" s="13"/>
      <c r="F170" s="38"/>
      <c r="G170" s="16"/>
      <c r="H170" s="13"/>
      <c r="I170" s="13"/>
      <c r="J170" s="13"/>
      <c r="K170" s="13"/>
      <c r="L170" s="16"/>
      <c r="M170" s="113"/>
      <c r="N170" s="13"/>
      <c r="O170" s="13"/>
      <c r="P170" s="16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</row>
    <row r="171" spans="1:52" ht="13.05" customHeight="1" x14ac:dyDescent="0.3">
      <c r="A171" s="13"/>
      <c r="B171" s="13"/>
      <c r="C171" s="13"/>
      <c r="D171" s="13"/>
      <c r="E171" s="13"/>
      <c r="F171" s="38"/>
      <c r="G171" s="16"/>
      <c r="H171" s="13"/>
      <c r="I171" s="13"/>
      <c r="J171" s="13"/>
      <c r="K171" s="13"/>
      <c r="L171" s="16"/>
      <c r="M171" s="113"/>
      <c r="N171" s="13"/>
      <c r="O171" s="13"/>
      <c r="P171" s="16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</row>
    <row r="172" spans="1:52" ht="13.05" customHeight="1" x14ac:dyDescent="0.3">
      <c r="A172" s="13"/>
      <c r="B172" s="13"/>
      <c r="C172" s="13"/>
      <c r="D172" s="13"/>
      <c r="E172" s="13"/>
      <c r="F172" s="38"/>
      <c r="G172" s="16"/>
      <c r="H172" s="13"/>
      <c r="I172" s="13"/>
      <c r="J172" s="13"/>
      <c r="K172" s="13"/>
      <c r="L172" s="16"/>
      <c r="M172" s="113"/>
      <c r="N172" s="13"/>
      <c r="O172" s="13"/>
      <c r="P172" s="16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</row>
    <row r="173" spans="1:52" ht="13.05" customHeight="1" x14ac:dyDescent="0.3">
      <c r="A173" s="13"/>
      <c r="B173" s="13"/>
      <c r="C173" s="13"/>
      <c r="D173" s="13"/>
      <c r="E173" s="13"/>
      <c r="F173" s="38"/>
      <c r="G173" s="16"/>
      <c r="H173" s="13"/>
      <c r="I173" s="13"/>
      <c r="J173" s="13"/>
      <c r="K173" s="13"/>
      <c r="L173" s="16"/>
      <c r="M173" s="113"/>
      <c r="N173" s="13"/>
      <c r="O173" s="13"/>
      <c r="P173" s="16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</row>
    <row r="174" spans="1:52" ht="13.05" customHeight="1" x14ac:dyDescent="0.3">
      <c r="A174" s="13"/>
      <c r="B174" s="13"/>
      <c r="C174" s="13"/>
      <c r="D174" s="13"/>
      <c r="E174" s="13"/>
      <c r="F174" s="38"/>
      <c r="G174" s="16"/>
      <c r="H174" s="13"/>
      <c r="I174" s="13"/>
      <c r="J174" s="13"/>
      <c r="K174" s="13"/>
      <c r="L174" s="16"/>
      <c r="M174" s="113"/>
      <c r="N174" s="13"/>
      <c r="O174" s="13"/>
      <c r="P174" s="16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</row>
    <row r="175" spans="1:52" ht="13.05" customHeight="1" x14ac:dyDescent="0.3">
      <c r="A175" s="13"/>
      <c r="B175" s="13"/>
      <c r="C175" s="13"/>
      <c r="D175" s="13"/>
      <c r="E175" s="13"/>
      <c r="F175" s="38"/>
      <c r="G175" s="16"/>
      <c r="H175" s="13"/>
      <c r="I175" s="13"/>
      <c r="J175" s="13"/>
      <c r="K175" s="13"/>
      <c r="L175" s="16"/>
      <c r="M175" s="113"/>
      <c r="N175" s="13"/>
      <c r="O175" s="13"/>
      <c r="P175" s="16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</row>
    <row r="176" spans="1:52" ht="13.05" customHeight="1" x14ac:dyDescent="0.3">
      <c r="A176" s="13"/>
      <c r="B176" s="13"/>
      <c r="C176" s="13"/>
      <c r="D176" s="13"/>
      <c r="E176" s="13"/>
      <c r="F176" s="38"/>
      <c r="G176" s="16"/>
      <c r="H176" s="13"/>
      <c r="I176" s="13"/>
      <c r="J176" s="13"/>
      <c r="K176" s="13"/>
      <c r="L176" s="16"/>
      <c r="M176" s="113"/>
      <c r="N176" s="13"/>
      <c r="O176" s="13"/>
      <c r="P176" s="16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</row>
    <row r="177" spans="1:52" ht="13.05" customHeight="1" x14ac:dyDescent="0.3">
      <c r="A177" s="13"/>
      <c r="B177" s="13"/>
      <c r="C177" s="13"/>
      <c r="D177" s="13"/>
      <c r="E177" s="13"/>
      <c r="F177" s="38"/>
      <c r="G177" s="16"/>
      <c r="H177" s="13"/>
      <c r="I177" s="13"/>
      <c r="J177" s="13"/>
      <c r="K177" s="13"/>
      <c r="L177" s="16"/>
      <c r="M177" s="113"/>
      <c r="N177" s="13"/>
      <c r="O177" s="13"/>
      <c r="P177" s="16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</row>
    <row r="178" spans="1:52" ht="13.05" customHeight="1" x14ac:dyDescent="0.3">
      <c r="A178" s="13"/>
      <c r="B178" s="13"/>
      <c r="C178" s="13"/>
      <c r="D178" s="13"/>
      <c r="E178" s="13"/>
      <c r="F178" s="38"/>
      <c r="G178" s="16"/>
      <c r="H178" s="13"/>
      <c r="I178" s="13"/>
      <c r="J178" s="13"/>
      <c r="K178" s="13"/>
      <c r="L178" s="16"/>
      <c r="M178" s="113"/>
      <c r="N178" s="13"/>
      <c r="O178" s="13"/>
      <c r="P178" s="16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</row>
    <row r="179" spans="1:52" ht="13.05" customHeight="1" x14ac:dyDescent="0.3">
      <c r="A179" s="13"/>
      <c r="B179" s="13"/>
      <c r="C179" s="13"/>
      <c r="D179" s="13"/>
      <c r="E179" s="13"/>
      <c r="F179" s="38"/>
      <c r="G179" s="16"/>
      <c r="H179" s="13"/>
      <c r="I179" s="13"/>
      <c r="J179" s="13"/>
      <c r="K179" s="13"/>
      <c r="L179" s="16"/>
      <c r="M179" s="113"/>
      <c r="N179" s="13"/>
      <c r="O179" s="13"/>
      <c r="P179" s="16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</row>
    <row r="180" spans="1:52" ht="13.05" customHeight="1" x14ac:dyDescent="0.3">
      <c r="A180" s="13"/>
      <c r="B180" s="13"/>
      <c r="C180" s="13"/>
      <c r="D180" s="13"/>
      <c r="E180" s="13"/>
      <c r="F180" s="38"/>
      <c r="G180" s="16"/>
      <c r="H180" s="13"/>
      <c r="I180" s="13"/>
      <c r="J180" s="13"/>
      <c r="K180" s="13"/>
      <c r="L180" s="16"/>
      <c r="M180" s="113"/>
      <c r="N180" s="13"/>
      <c r="O180" s="13"/>
      <c r="P180" s="16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</row>
    <row r="181" spans="1:52" ht="13.05" customHeight="1" x14ac:dyDescent="0.3">
      <c r="A181" s="13"/>
      <c r="B181" s="13"/>
      <c r="C181" s="13"/>
      <c r="D181" s="13"/>
      <c r="E181" s="13"/>
      <c r="F181" s="38"/>
      <c r="G181" s="16"/>
      <c r="H181" s="13"/>
      <c r="I181" s="13"/>
      <c r="J181" s="13"/>
      <c r="K181" s="13"/>
      <c r="L181" s="16"/>
      <c r="M181" s="113"/>
      <c r="N181" s="13"/>
      <c r="O181" s="13"/>
      <c r="P181" s="16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</row>
    <row r="182" spans="1:52" ht="13.05" customHeight="1" x14ac:dyDescent="0.3">
      <c r="A182" s="13"/>
      <c r="B182" s="13"/>
      <c r="C182" s="13"/>
      <c r="D182" s="13"/>
      <c r="E182" s="13"/>
      <c r="F182" s="38"/>
      <c r="G182" s="16"/>
      <c r="H182" s="13"/>
      <c r="I182" s="13"/>
      <c r="J182" s="13"/>
      <c r="K182" s="13"/>
      <c r="L182" s="16"/>
      <c r="M182" s="113"/>
      <c r="N182" s="13"/>
      <c r="O182" s="13"/>
      <c r="P182" s="16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</row>
    <row r="183" spans="1:52" ht="13.05" customHeight="1" x14ac:dyDescent="0.3">
      <c r="A183" s="13"/>
      <c r="B183" s="13"/>
      <c r="C183" s="13"/>
      <c r="D183" s="13"/>
      <c r="E183" s="13"/>
      <c r="F183" s="38"/>
      <c r="G183" s="16"/>
      <c r="H183" s="13"/>
      <c r="I183" s="13"/>
      <c r="J183" s="13"/>
      <c r="K183" s="13"/>
      <c r="L183" s="16"/>
      <c r="M183" s="113"/>
      <c r="N183" s="13"/>
      <c r="O183" s="13"/>
      <c r="P183" s="16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</row>
    <row r="184" spans="1:52" ht="13.05" customHeight="1" x14ac:dyDescent="0.3">
      <c r="A184" s="13"/>
      <c r="B184" s="13"/>
      <c r="C184" s="13"/>
      <c r="D184" s="13"/>
      <c r="E184" s="13"/>
      <c r="F184" s="38"/>
      <c r="G184" s="16"/>
      <c r="H184" s="13"/>
      <c r="I184" s="13"/>
      <c r="J184" s="13"/>
      <c r="K184" s="13"/>
      <c r="L184" s="16"/>
      <c r="M184" s="113"/>
      <c r="N184" s="13"/>
      <c r="O184" s="13"/>
      <c r="P184" s="16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</row>
    <row r="185" spans="1:52" ht="13.05" customHeight="1" x14ac:dyDescent="0.3">
      <c r="A185" s="13"/>
      <c r="B185" s="13"/>
      <c r="C185" s="13"/>
      <c r="D185" s="13"/>
      <c r="E185" s="13"/>
      <c r="F185" s="38"/>
      <c r="G185" s="16"/>
      <c r="H185" s="13"/>
      <c r="I185" s="13"/>
      <c r="J185" s="13"/>
      <c r="K185" s="13"/>
      <c r="L185" s="16"/>
      <c r="M185" s="113"/>
      <c r="N185" s="13"/>
      <c r="O185" s="13"/>
      <c r="P185" s="16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</row>
    <row r="186" spans="1:52" ht="13.05" customHeight="1" x14ac:dyDescent="0.3">
      <c r="A186" s="13"/>
      <c r="B186" s="13"/>
      <c r="C186" s="13"/>
      <c r="D186" s="13"/>
      <c r="E186" s="13"/>
      <c r="F186" s="38"/>
      <c r="G186" s="16"/>
      <c r="H186" s="13"/>
      <c r="I186" s="13"/>
      <c r="J186" s="13"/>
      <c r="K186" s="13"/>
      <c r="L186" s="16"/>
      <c r="M186" s="113"/>
      <c r="N186" s="13"/>
      <c r="O186" s="13"/>
      <c r="P186" s="16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</row>
    <row r="187" spans="1:52" ht="13.05" customHeight="1" x14ac:dyDescent="0.3">
      <c r="A187" s="13"/>
      <c r="B187" s="13"/>
      <c r="C187" s="13"/>
      <c r="D187" s="13"/>
      <c r="E187" s="13"/>
      <c r="F187" s="38"/>
      <c r="G187" s="16"/>
      <c r="H187" s="13"/>
      <c r="I187" s="13"/>
      <c r="J187" s="13"/>
      <c r="K187" s="13"/>
      <c r="L187" s="16"/>
      <c r="M187" s="113"/>
      <c r="N187" s="13"/>
      <c r="O187" s="13"/>
      <c r="P187" s="16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</row>
    <row r="188" spans="1:52" ht="13.05" customHeight="1" x14ac:dyDescent="0.3">
      <c r="A188" s="13"/>
      <c r="B188" s="13"/>
      <c r="C188" s="13"/>
      <c r="D188" s="13"/>
      <c r="E188" s="13"/>
      <c r="F188" s="38"/>
      <c r="G188" s="16"/>
      <c r="H188" s="13"/>
      <c r="I188" s="13"/>
      <c r="J188" s="13"/>
      <c r="K188" s="13"/>
      <c r="L188" s="16"/>
      <c r="M188" s="113"/>
      <c r="N188" s="13"/>
      <c r="O188" s="13"/>
      <c r="P188" s="16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</row>
    <row r="189" spans="1:52" ht="13.05" customHeight="1" x14ac:dyDescent="0.3">
      <c r="A189" s="13"/>
      <c r="B189" s="13"/>
      <c r="C189" s="13"/>
      <c r="D189" s="13"/>
      <c r="E189" s="13"/>
      <c r="F189" s="38"/>
      <c r="G189" s="16"/>
      <c r="H189" s="13"/>
      <c r="I189" s="13"/>
      <c r="J189" s="13"/>
      <c r="K189" s="13"/>
      <c r="L189" s="16"/>
      <c r="M189" s="113"/>
      <c r="N189" s="13"/>
      <c r="O189" s="13"/>
      <c r="P189" s="16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</row>
    <row r="190" spans="1:52" ht="13.05" customHeight="1" x14ac:dyDescent="0.3">
      <c r="A190" s="13"/>
      <c r="B190" s="13"/>
      <c r="C190" s="13"/>
      <c r="D190" s="13"/>
      <c r="E190" s="13"/>
      <c r="F190" s="38"/>
      <c r="G190" s="16"/>
      <c r="H190" s="13"/>
      <c r="I190" s="13"/>
      <c r="J190" s="13"/>
      <c r="K190" s="13"/>
      <c r="L190" s="16"/>
      <c r="M190" s="113"/>
      <c r="N190" s="13"/>
      <c r="O190" s="13"/>
      <c r="P190" s="16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</row>
    <row r="191" spans="1:52" ht="13.05" customHeight="1" x14ac:dyDescent="0.3">
      <c r="A191" s="13"/>
      <c r="B191" s="13"/>
      <c r="C191" s="13"/>
      <c r="D191" s="13"/>
      <c r="E191" s="13"/>
      <c r="F191" s="38"/>
      <c r="G191" s="16"/>
      <c r="H191" s="13"/>
      <c r="I191" s="13"/>
      <c r="J191" s="13"/>
      <c r="K191" s="13"/>
      <c r="L191" s="16"/>
      <c r="M191" s="113"/>
      <c r="N191" s="13"/>
      <c r="O191" s="13"/>
      <c r="P191" s="16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</row>
    <row r="192" spans="1:52" ht="13.05" customHeight="1" x14ac:dyDescent="0.3">
      <c r="A192" s="13"/>
      <c r="B192" s="13"/>
      <c r="C192" s="13"/>
      <c r="D192" s="13"/>
      <c r="E192" s="13"/>
      <c r="F192" s="38"/>
      <c r="G192" s="16"/>
      <c r="H192" s="13"/>
      <c r="I192" s="13"/>
      <c r="J192" s="13"/>
      <c r="K192" s="13"/>
      <c r="L192" s="16"/>
      <c r="M192" s="113"/>
      <c r="N192" s="13"/>
      <c r="O192" s="13"/>
      <c r="P192" s="16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</row>
    <row r="193" spans="1:52" ht="13.05" customHeight="1" x14ac:dyDescent="0.3">
      <c r="A193" s="13"/>
      <c r="B193" s="13"/>
      <c r="C193" s="13"/>
      <c r="D193" s="13"/>
      <c r="E193" s="13"/>
      <c r="F193" s="38"/>
      <c r="G193" s="16"/>
      <c r="H193" s="13"/>
      <c r="I193" s="13"/>
      <c r="J193" s="13"/>
      <c r="K193" s="13"/>
      <c r="L193" s="16"/>
      <c r="M193" s="113"/>
      <c r="N193" s="13"/>
      <c r="O193" s="13"/>
      <c r="P193" s="16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</row>
    <row r="194" spans="1:52" ht="13.05" customHeight="1" x14ac:dyDescent="0.3">
      <c r="A194" s="13"/>
      <c r="B194" s="13"/>
      <c r="C194" s="13"/>
      <c r="D194" s="13"/>
      <c r="E194" s="13"/>
      <c r="F194" s="38"/>
      <c r="G194" s="16"/>
      <c r="H194" s="13"/>
      <c r="I194" s="13"/>
      <c r="J194" s="13"/>
      <c r="K194" s="13"/>
      <c r="L194" s="16"/>
      <c r="M194" s="113"/>
      <c r="N194" s="13"/>
      <c r="O194" s="13"/>
      <c r="P194" s="16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</row>
    <row r="195" spans="1:52" ht="13.05" customHeight="1" x14ac:dyDescent="0.3">
      <c r="A195" s="13"/>
      <c r="B195" s="13"/>
      <c r="C195" s="13"/>
      <c r="D195" s="13"/>
      <c r="E195" s="13"/>
      <c r="F195" s="38"/>
      <c r="G195" s="16"/>
      <c r="H195" s="13"/>
      <c r="I195" s="13"/>
      <c r="J195" s="13"/>
      <c r="K195" s="13"/>
      <c r="L195" s="16"/>
      <c r="M195" s="113"/>
      <c r="N195" s="13"/>
      <c r="O195" s="13"/>
      <c r="P195" s="16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</row>
    <row r="196" spans="1:52" ht="13.05" customHeight="1" x14ac:dyDescent="0.3">
      <c r="A196" s="13"/>
      <c r="B196" s="13"/>
      <c r="C196" s="13"/>
      <c r="D196" s="13"/>
      <c r="E196" s="13"/>
      <c r="F196" s="38"/>
      <c r="G196" s="16"/>
      <c r="H196" s="13"/>
      <c r="I196" s="13"/>
      <c r="J196" s="13"/>
      <c r="K196" s="13"/>
      <c r="L196" s="16"/>
      <c r="M196" s="113"/>
      <c r="N196" s="13"/>
      <c r="O196" s="13"/>
      <c r="P196" s="16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</row>
  </sheetData>
  <dataValidations disablePrompts="1" count="9">
    <dataValidation type="list" allowBlank="1" showInputMessage="1" showErrorMessage="1" promptTitle="Probability" prompt="10%=Remote, 30%=Unlikely, 50%=Possible, 70%=Likely, 90%=Near Certain" sqref="H11:H151" xr:uid="{00000000-0002-0000-0100-000000000000}">
      <formula1>"0.1,0.3,0.5,0.7,0.9"</formula1>
    </dataValidation>
    <dataValidation type="list" allowBlank="1" showInputMessage="1" showErrorMessage="1" promptTitle="Impact" prompt="1=Negligible, 2=Minor, 3=Moderate, 4=Major, 5=Catastrophic" sqref="I6:I151" xr:uid="{00000000-0002-0000-0100-000001000000}">
      <formula1>"1,2,3,4,5"</formula1>
    </dataValidation>
    <dataValidation type="list" allowBlank="1" showInputMessage="1" showErrorMessage="1" promptTitle="Strategy" prompt="Select risk strategy" sqref="M6:M151" xr:uid="{00000000-0002-0000-0100-000002000000}">
      <formula1>"Avoid,Mitigate,Transfer,Accept,Escalate"</formula1>
    </dataValidation>
    <dataValidation type="list" allowBlank="1" showInputMessage="1" showErrorMessage="1" promptTitle="Status" prompt="Select status" sqref="R6:R151" xr:uid="{00000000-0002-0000-0100-000003000000}">
      <formula1>"Not Started,In Progress,Resolved,On Hold,Cancelled"</formula1>
    </dataValidation>
    <dataValidation type="list" allowBlank="1" showInputMessage="1" showErrorMessage="1" promptTitle="Raised By" prompt="Select who raised" sqref="E7:E151" xr:uid="{00000000-0002-0000-0100-000004000000}">
      <formula1>"Sarah Chen,James Rodriguez,Emily Watson,David Kim,Priya Patel,Marcus Johnson,Lisa Chang"</formula1>
    </dataValidation>
    <dataValidation type="list" allowBlank="1" showInputMessage="1" showErrorMessage="1" promptTitle="Owner" prompt="Select owner" sqref="O6:O151" xr:uid="{00000000-0002-0000-0100-000005000000}">
      <formula1>"Sarah Chen,James Rodriguez,Emily Watson,David Kim,Priya Patel,Marcus Johnson,Lisa Chang"</formula1>
    </dataValidation>
    <dataValidation type="list" allowBlank="1" showInputMessage="1" showErrorMessage="1" promptTitle="Category" prompt="Select risk category" sqref="C6:C151" xr:uid="{00000000-0002-0000-0100-000006000000}">
      <formula1>"Technical,Schedule,Cost,Resource,External,Quality,Legal"</formula1>
    </dataValidation>
    <dataValidation type="list" allowBlank="1" showInputMessage="1" showErrorMessage="1" promptTitle="Raised By" prompt="Select who raised" sqref="E6" xr:uid="{4AC6140F-0EAD-477B-A4A5-0BBA4A94D68D}">
      <formula1>"EDF,Stratesys"</formula1>
    </dataValidation>
    <dataValidation type="list" allowBlank="1" showInputMessage="1" showErrorMessage="1" promptTitle="Probability" prompt="10%=Remote, 30%=Unlikely, 50%=Possible, 70%=Likely, 90%=Near Certain" sqref="H6:H10" xr:uid="{9765C99A-88E8-4E67-B401-C5D9E33D1F5D}">
      <mc:AlternateContent xmlns:x12ac="http://schemas.microsoft.com/office/spreadsheetml/2011/1/ac" xmlns:mc="http://schemas.openxmlformats.org/markup-compatibility/2006">
        <mc:Choice Requires="x12ac">
          <x12ac:list>"0,1","0,3","0,5","0,7","0,9"</x12ac:list>
        </mc:Choice>
        <mc:Fallback>
          <formula1>"0,1,0,3,0,5,0,7,0,9"</formula1>
        </mc:Fallback>
      </mc:AlternateContent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2D6CDF"/>
  </sheetPr>
  <dimension ref="A1:AQ200"/>
  <sheetViews>
    <sheetView showGridLines="0" zoomScaleNormal="100" workbookViewId="0">
      <pane ySplit="5" topLeftCell="A6" activePane="bottomLeft" state="frozen"/>
      <selection pane="bottomLeft" activeCell="I2" sqref="I2"/>
    </sheetView>
  </sheetViews>
  <sheetFormatPr defaultRowHeight="13.2" x14ac:dyDescent="0.25"/>
  <cols>
    <col min="1" max="1" width="1.44140625" customWidth="1"/>
    <col min="2" max="2" width="9.109375" customWidth="1"/>
    <col min="3" max="3" width="11.77734375" customWidth="1"/>
    <col min="4" max="4" width="11" style="102" customWidth="1"/>
    <col min="5" max="5" width="18.21875" customWidth="1"/>
    <col min="6" max="6" width="15.44140625" customWidth="1"/>
    <col min="7" max="7" width="0.77734375" style="22" customWidth="1"/>
    <col min="8" max="8" width="50.88671875" customWidth="1"/>
    <col min="9" max="9" width="15.44140625" customWidth="1"/>
    <col min="10" max="10" width="20" customWidth="1"/>
    <col min="11" max="11" width="0.77734375" style="22" customWidth="1"/>
    <col min="12" max="12" width="15.44140625" customWidth="1"/>
    <col min="13" max="13" width="17.21875" customWidth="1"/>
    <col min="14" max="14" width="11.77734375" customWidth="1"/>
    <col min="15" max="15" width="12.77734375" style="102" customWidth="1"/>
    <col min="16" max="16" width="15.44140625" customWidth="1"/>
    <col min="17" max="17" width="36.33203125" customWidth="1"/>
  </cols>
  <sheetData>
    <row r="1" spans="1:43" ht="13.05" customHeight="1" x14ac:dyDescent="0.3">
      <c r="A1" s="14"/>
      <c r="B1" s="14"/>
      <c r="C1" s="14"/>
      <c r="D1" s="59"/>
      <c r="E1" s="14"/>
      <c r="F1" s="14"/>
      <c r="G1" s="16"/>
      <c r="H1" s="14"/>
      <c r="I1" s="14"/>
      <c r="J1" s="14"/>
      <c r="K1" s="16"/>
      <c r="L1" s="14"/>
      <c r="M1" s="14"/>
      <c r="N1" s="14"/>
      <c r="O1" s="59"/>
      <c r="P1" s="14"/>
      <c r="Q1" s="14"/>
      <c r="R1" s="14"/>
      <c r="S1" s="14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</row>
    <row r="2" spans="1:43" ht="28.5" customHeight="1" x14ac:dyDescent="0.55000000000000004">
      <c r="A2" s="14"/>
      <c r="B2" s="15" t="s">
        <v>121</v>
      </c>
      <c r="C2" s="14"/>
      <c r="D2" s="59"/>
      <c r="E2" s="14"/>
      <c r="F2" s="14"/>
      <c r="G2" s="16"/>
      <c r="H2" s="28" t="s">
        <v>95</v>
      </c>
      <c r="I2" s="29">
        <f>COUNTIFS(M6:M155,"&lt;&gt;Resolved",M6:M155,"&lt;&gt;Cancelled",B6:B155,"&lt;&gt;")</f>
        <v>150</v>
      </c>
      <c r="J2" s="28" t="s">
        <v>96</v>
      </c>
      <c r="K2" s="16"/>
      <c r="L2" s="29">
        <f ca="1">COUNTIFS(L6:L155,"&lt;"&amp;TODAY(),M6:M155,"&lt;&gt;Resolved",M6:M155,"&lt;&gt;Cancelled",L6:L155,"&lt;&gt;")</f>
        <v>0</v>
      </c>
      <c r="M2" s="14"/>
      <c r="N2" s="14"/>
      <c r="O2" s="59"/>
      <c r="P2" s="14"/>
      <c r="Q2" s="14"/>
      <c r="R2" s="14"/>
      <c r="S2" s="14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</row>
    <row r="3" spans="1:43" ht="13.05" customHeight="1" x14ac:dyDescent="0.3">
      <c r="A3" s="14"/>
      <c r="B3" s="14"/>
      <c r="C3" s="14"/>
      <c r="D3" s="59"/>
      <c r="E3" s="14"/>
      <c r="F3" s="14"/>
      <c r="G3" s="16"/>
      <c r="H3" s="14"/>
      <c r="I3" s="14"/>
      <c r="J3" s="14"/>
      <c r="K3" s="16"/>
      <c r="L3" s="14"/>
      <c r="M3" s="14"/>
      <c r="N3" s="14"/>
      <c r="O3" s="59"/>
      <c r="P3" s="14"/>
      <c r="Q3" s="14"/>
      <c r="R3" s="14"/>
      <c r="S3" s="14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ht="13.05" customHeight="1" x14ac:dyDescent="0.3">
      <c r="A4" s="13"/>
      <c r="B4" s="107" t="s">
        <v>122</v>
      </c>
      <c r="C4" s="106" t="s">
        <v>41</v>
      </c>
      <c r="D4" s="38" t="str">
        <f>LEFT(C4,1)</f>
        <v>D</v>
      </c>
      <c r="E4" s="13"/>
      <c r="F4" s="13"/>
      <c r="G4" s="16"/>
      <c r="H4" s="25" t="s">
        <v>123</v>
      </c>
      <c r="I4" s="13"/>
      <c r="J4" s="13"/>
      <c r="K4" s="16"/>
      <c r="L4" s="25" t="s">
        <v>99</v>
      </c>
      <c r="M4" s="13"/>
      <c r="N4" s="13"/>
      <c r="O4" s="38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</row>
    <row r="5" spans="1:43" ht="36" customHeight="1" x14ac:dyDescent="0.3">
      <c r="A5" s="13"/>
      <c r="B5" s="24" t="s">
        <v>71</v>
      </c>
      <c r="C5" s="24" t="s">
        <v>124</v>
      </c>
      <c r="D5" s="24" t="s">
        <v>100</v>
      </c>
      <c r="E5" s="24" t="s">
        <v>102</v>
      </c>
      <c r="F5" s="24" t="s">
        <v>125</v>
      </c>
      <c r="G5" s="24"/>
      <c r="H5" s="24" t="s">
        <v>126</v>
      </c>
      <c r="I5" s="24" t="s">
        <v>73</v>
      </c>
      <c r="J5" s="24" t="s">
        <v>127</v>
      </c>
      <c r="K5" s="24"/>
      <c r="L5" s="24" t="s">
        <v>109</v>
      </c>
      <c r="M5" s="24" t="s">
        <v>110</v>
      </c>
      <c r="N5" s="24" t="s">
        <v>128</v>
      </c>
      <c r="O5" s="23" t="s">
        <v>75</v>
      </c>
      <c r="P5" s="23" t="s">
        <v>111</v>
      </c>
      <c r="Q5" s="23" t="s">
        <v>112</v>
      </c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</row>
    <row r="6" spans="1:43" ht="28.05" customHeight="1" x14ac:dyDescent="0.3">
      <c r="A6" s="13"/>
      <c r="B6" s="34" t="str">
        <f t="shared" ref="B6:B37" si="0">IF(COUNTA(C6,D6,E6,H6,I6)=0,"","A"&amp;TEXT(ROW()-5,"000"))</f>
        <v/>
      </c>
      <c r="C6" s="38"/>
      <c r="D6" s="38"/>
      <c r="E6" s="31"/>
      <c r="F6" s="40"/>
      <c r="G6" s="32"/>
      <c r="H6" s="31"/>
      <c r="I6" s="43"/>
      <c r="J6" s="31"/>
      <c r="K6" s="32"/>
      <c r="L6" s="51"/>
      <c r="M6" s="48"/>
      <c r="N6" s="36"/>
      <c r="O6" s="102" t="str">
        <f t="shared" ref="O6:O15" ca="1" si="1">IF(F6="","",TODAY()-F6)</f>
        <v/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</row>
    <row r="7" spans="1:43" ht="28.05" customHeight="1" x14ac:dyDescent="0.3">
      <c r="A7" s="13"/>
      <c r="B7" s="34" t="str">
        <f t="shared" si="0"/>
        <v/>
      </c>
      <c r="C7" s="39"/>
      <c r="D7" s="39"/>
      <c r="E7" s="33"/>
      <c r="F7" s="41"/>
      <c r="G7" s="33"/>
      <c r="H7" s="33"/>
      <c r="I7" s="45"/>
      <c r="J7" s="33"/>
      <c r="K7" s="33"/>
      <c r="L7" s="52"/>
      <c r="M7" s="48"/>
      <c r="N7" s="37"/>
      <c r="O7" s="102" t="str">
        <f t="shared" ca="1" si="1"/>
        <v/>
      </c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</row>
    <row r="8" spans="1:43" ht="28.05" customHeight="1" x14ac:dyDescent="0.3">
      <c r="A8" s="13"/>
      <c r="B8" s="34" t="str">
        <f t="shared" si="0"/>
        <v/>
      </c>
      <c r="C8" s="38"/>
      <c r="D8" s="38"/>
      <c r="E8" s="31"/>
      <c r="F8" s="40"/>
      <c r="G8" s="32"/>
      <c r="H8" s="31"/>
      <c r="I8" s="45"/>
      <c r="J8" s="31"/>
      <c r="K8" s="32"/>
      <c r="L8" s="51"/>
      <c r="M8" s="49"/>
      <c r="N8" s="36"/>
      <c r="O8" s="102" t="str">
        <f t="shared" ca="1" si="1"/>
        <v/>
      </c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</row>
    <row r="9" spans="1:43" ht="28.05" customHeight="1" x14ac:dyDescent="0.3">
      <c r="A9" s="13"/>
      <c r="B9" s="34" t="str">
        <f t="shared" si="0"/>
        <v/>
      </c>
      <c r="C9" s="39"/>
      <c r="D9" s="39"/>
      <c r="E9" s="33"/>
      <c r="F9" s="41"/>
      <c r="G9" s="33"/>
      <c r="H9" s="33"/>
      <c r="I9" s="43"/>
      <c r="J9" s="33"/>
      <c r="K9" s="33"/>
      <c r="L9" s="52"/>
      <c r="M9" s="48"/>
      <c r="N9" s="37"/>
      <c r="O9" s="102" t="str">
        <f t="shared" ca="1" si="1"/>
        <v/>
      </c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</row>
    <row r="10" spans="1:43" ht="28.05" customHeight="1" x14ac:dyDescent="0.3">
      <c r="A10" s="13"/>
      <c r="B10" s="34" t="str">
        <f t="shared" si="0"/>
        <v/>
      </c>
      <c r="C10" s="38"/>
      <c r="D10" s="38"/>
      <c r="E10" s="31"/>
      <c r="F10" s="40"/>
      <c r="G10" s="32"/>
      <c r="H10" s="31"/>
      <c r="I10" s="45"/>
      <c r="J10" s="31"/>
      <c r="K10" s="32"/>
      <c r="L10" s="40"/>
      <c r="M10" s="49"/>
      <c r="N10" s="36"/>
      <c r="O10" s="102" t="str">
        <f t="shared" ca="1" si="1"/>
        <v/>
      </c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</row>
    <row r="11" spans="1:43" ht="28.05" customHeight="1" x14ac:dyDescent="0.3">
      <c r="A11" s="13"/>
      <c r="B11" s="34" t="str">
        <f t="shared" si="0"/>
        <v/>
      </c>
      <c r="C11" s="39"/>
      <c r="D11" s="39"/>
      <c r="E11" s="33"/>
      <c r="F11" s="41"/>
      <c r="G11" s="33"/>
      <c r="H11" s="33"/>
      <c r="I11" s="45"/>
      <c r="J11" s="33"/>
      <c r="K11" s="33"/>
      <c r="L11" s="41"/>
      <c r="M11" s="48"/>
      <c r="N11" s="37"/>
      <c r="O11" s="102" t="str">
        <f t="shared" ca="1" si="1"/>
        <v/>
      </c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</row>
    <row r="12" spans="1:43" ht="28.05" customHeight="1" x14ac:dyDescent="0.3">
      <c r="A12" s="13"/>
      <c r="B12" s="34" t="str">
        <f t="shared" si="0"/>
        <v/>
      </c>
      <c r="C12" s="38"/>
      <c r="D12" s="38"/>
      <c r="E12" s="31"/>
      <c r="F12" s="40"/>
      <c r="G12" s="32"/>
      <c r="H12" s="31"/>
      <c r="I12" s="46"/>
      <c r="J12" s="31"/>
      <c r="K12" s="32"/>
      <c r="L12" s="51"/>
      <c r="M12" s="48"/>
      <c r="N12" s="36"/>
      <c r="O12" s="102" t="str">
        <f t="shared" ca="1" si="1"/>
        <v/>
      </c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</row>
    <row r="13" spans="1:43" ht="28.05" customHeight="1" x14ac:dyDescent="0.3">
      <c r="A13" s="13"/>
      <c r="B13" s="34" t="str">
        <f t="shared" si="0"/>
        <v/>
      </c>
      <c r="C13" s="39"/>
      <c r="D13" s="39"/>
      <c r="E13" s="33"/>
      <c r="F13" s="41"/>
      <c r="G13" s="33"/>
      <c r="H13" s="33"/>
      <c r="I13" s="43"/>
      <c r="J13" s="33"/>
      <c r="K13" s="33"/>
      <c r="L13" s="52"/>
      <c r="M13" s="48"/>
      <c r="N13" s="37"/>
      <c r="O13" s="102" t="str">
        <f t="shared" ca="1" si="1"/>
        <v/>
      </c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</row>
    <row r="14" spans="1:43" ht="28.05" customHeight="1" x14ac:dyDescent="0.3">
      <c r="A14" s="13"/>
      <c r="B14" s="34" t="str">
        <f t="shared" si="0"/>
        <v/>
      </c>
      <c r="C14" s="38"/>
      <c r="D14" s="38"/>
      <c r="E14" s="31"/>
      <c r="F14" s="40"/>
      <c r="G14" s="32"/>
      <c r="H14" s="31"/>
      <c r="I14" s="45"/>
      <c r="J14" s="31"/>
      <c r="K14" s="32"/>
      <c r="L14" s="40"/>
      <c r="M14" s="49"/>
      <c r="N14" s="36"/>
      <c r="O14" s="102" t="str">
        <f t="shared" ca="1" si="1"/>
        <v/>
      </c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</row>
    <row r="15" spans="1:43" ht="28.05" customHeight="1" x14ac:dyDescent="0.3">
      <c r="A15" s="13"/>
      <c r="B15" s="34" t="str">
        <f t="shared" si="0"/>
        <v/>
      </c>
      <c r="C15" s="39"/>
      <c r="D15" s="39"/>
      <c r="E15" s="33"/>
      <c r="F15" s="41"/>
      <c r="G15" s="33"/>
      <c r="H15" s="33"/>
      <c r="I15" s="46"/>
      <c r="J15" s="33"/>
      <c r="K15" s="33"/>
      <c r="L15" s="41"/>
      <c r="M15" s="49"/>
      <c r="N15" s="37"/>
      <c r="O15" s="102" t="str">
        <f t="shared" ca="1" si="1"/>
        <v/>
      </c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</row>
    <row r="16" spans="1:43" ht="13.05" customHeight="1" x14ac:dyDescent="0.3">
      <c r="A16" s="13"/>
      <c r="B16" s="34" t="str">
        <f t="shared" si="0"/>
        <v/>
      </c>
      <c r="C16" s="13"/>
      <c r="D16" s="38"/>
      <c r="E16" s="13"/>
      <c r="F16" s="13"/>
      <c r="G16" s="16"/>
      <c r="H16" s="13"/>
      <c r="I16" s="13"/>
      <c r="J16" s="13"/>
      <c r="K16" s="16"/>
      <c r="L16" s="13"/>
      <c r="M16" s="13"/>
      <c r="N16" s="13"/>
      <c r="O16" s="38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</row>
    <row r="17" spans="1:43" ht="13.05" customHeight="1" x14ac:dyDescent="0.3">
      <c r="A17" s="13"/>
      <c r="B17" s="34" t="str">
        <f t="shared" si="0"/>
        <v/>
      </c>
      <c r="C17" s="13"/>
      <c r="D17" s="38"/>
      <c r="E17" s="13"/>
      <c r="F17" s="13"/>
      <c r="G17" s="16"/>
      <c r="H17" s="13"/>
      <c r="I17" s="13"/>
      <c r="J17" s="13"/>
      <c r="K17" s="16"/>
      <c r="L17" s="13"/>
      <c r="M17" s="13"/>
      <c r="N17" s="13"/>
      <c r="O17" s="38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</row>
    <row r="18" spans="1:43" ht="13.05" customHeight="1" x14ac:dyDescent="0.3">
      <c r="A18" s="13"/>
      <c r="B18" s="34" t="str">
        <f t="shared" si="0"/>
        <v/>
      </c>
      <c r="C18" s="13"/>
      <c r="D18" s="38"/>
      <c r="E18" s="13"/>
      <c r="F18" s="13"/>
      <c r="G18" s="16"/>
      <c r="H18" s="13"/>
      <c r="I18" s="13"/>
      <c r="J18" s="13"/>
      <c r="K18" s="16"/>
      <c r="L18" s="13"/>
      <c r="M18" s="13"/>
      <c r="N18" s="13"/>
      <c r="O18" s="38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</row>
    <row r="19" spans="1:43" ht="13.05" customHeight="1" x14ac:dyDescent="0.3">
      <c r="A19" s="13"/>
      <c r="B19" s="34" t="str">
        <f t="shared" si="0"/>
        <v/>
      </c>
      <c r="C19" s="13"/>
      <c r="D19" s="38"/>
      <c r="E19" s="13"/>
      <c r="F19" s="13"/>
      <c r="G19" s="16"/>
      <c r="H19" s="13"/>
      <c r="I19" s="13"/>
      <c r="J19" s="13"/>
      <c r="K19" s="16"/>
      <c r="L19" s="13"/>
      <c r="M19" s="13"/>
      <c r="N19" s="13"/>
      <c r="O19" s="38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</row>
    <row r="20" spans="1:43" ht="13.05" customHeight="1" x14ac:dyDescent="0.3">
      <c r="A20" s="13"/>
      <c r="B20" s="34" t="str">
        <f t="shared" si="0"/>
        <v/>
      </c>
      <c r="C20" s="13"/>
      <c r="D20" s="38"/>
      <c r="E20" s="13"/>
      <c r="F20" s="13"/>
      <c r="G20" s="16"/>
      <c r="H20" s="13"/>
      <c r="I20" s="13"/>
      <c r="J20" s="13"/>
      <c r="K20" s="16"/>
      <c r="L20" s="13"/>
      <c r="M20" s="13"/>
      <c r="N20" s="13"/>
      <c r="O20" s="38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</row>
    <row r="21" spans="1:43" ht="13.05" customHeight="1" x14ac:dyDescent="0.3">
      <c r="A21" s="13"/>
      <c r="B21" s="34" t="str">
        <f t="shared" si="0"/>
        <v/>
      </c>
      <c r="C21" s="13"/>
      <c r="D21" s="38"/>
      <c r="E21" s="13"/>
      <c r="F21" s="13"/>
      <c r="G21" s="16"/>
      <c r="H21" s="13"/>
      <c r="I21" s="13"/>
      <c r="J21" s="13"/>
      <c r="K21" s="16"/>
      <c r="L21" s="13"/>
      <c r="M21" s="13"/>
      <c r="N21" s="13"/>
      <c r="O21" s="38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</row>
    <row r="22" spans="1:43" ht="13.05" customHeight="1" x14ac:dyDescent="0.3">
      <c r="A22" s="13"/>
      <c r="B22" s="34" t="str">
        <f t="shared" si="0"/>
        <v/>
      </c>
      <c r="C22" s="13"/>
      <c r="D22" s="38"/>
      <c r="E22" s="13"/>
      <c r="F22" s="13"/>
      <c r="G22" s="16"/>
      <c r="H22" s="13"/>
      <c r="I22" s="13"/>
      <c r="J22" s="13"/>
      <c r="K22" s="16"/>
      <c r="L22" s="13"/>
      <c r="M22" s="13"/>
      <c r="N22" s="13"/>
      <c r="O22" s="38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</row>
    <row r="23" spans="1:43" ht="13.05" customHeight="1" x14ac:dyDescent="0.3">
      <c r="A23" s="13"/>
      <c r="B23" s="34" t="str">
        <f t="shared" si="0"/>
        <v/>
      </c>
      <c r="C23" s="13"/>
      <c r="D23" s="38"/>
      <c r="E23" s="13"/>
      <c r="F23" s="13"/>
      <c r="G23" s="16"/>
      <c r="H23" s="13"/>
      <c r="I23" s="13"/>
      <c r="J23" s="13"/>
      <c r="K23" s="16"/>
      <c r="L23" s="13"/>
      <c r="M23" s="13"/>
      <c r="N23" s="13"/>
      <c r="O23" s="38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</row>
    <row r="24" spans="1:43" ht="13.05" customHeight="1" x14ac:dyDescent="0.3">
      <c r="A24" s="13"/>
      <c r="B24" s="34" t="str">
        <f t="shared" si="0"/>
        <v/>
      </c>
      <c r="C24" s="13"/>
      <c r="D24" s="38"/>
      <c r="E24" s="13"/>
      <c r="F24" s="13"/>
      <c r="G24" s="16"/>
      <c r="H24" s="13"/>
      <c r="I24" s="13"/>
      <c r="J24" s="13"/>
      <c r="K24" s="16"/>
      <c r="L24" s="13"/>
      <c r="M24" s="13"/>
      <c r="N24" s="13"/>
      <c r="O24" s="38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</row>
    <row r="25" spans="1:43" ht="13.05" customHeight="1" x14ac:dyDescent="0.3">
      <c r="A25" s="13"/>
      <c r="B25" s="34" t="str">
        <f t="shared" si="0"/>
        <v/>
      </c>
      <c r="C25" s="13"/>
      <c r="D25" s="38"/>
      <c r="E25" s="13"/>
      <c r="F25" s="13"/>
      <c r="G25" s="16"/>
      <c r="H25" s="13"/>
      <c r="I25" s="13"/>
      <c r="J25" s="13"/>
      <c r="K25" s="16"/>
      <c r="L25" s="13"/>
      <c r="M25" s="13"/>
      <c r="N25" s="13"/>
      <c r="O25" s="38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</row>
    <row r="26" spans="1:43" ht="13.05" customHeight="1" x14ac:dyDescent="0.3">
      <c r="A26" s="13"/>
      <c r="B26" s="34" t="str">
        <f t="shared" si="0"/>
        <v/>
      </c>
      <c r="C26" s="13"/>
      <c r="D26" s="38"/>
      <c r="E26" s="13"/>
      <c r="F26" s="13"/>
      <c r="G26" s="16"/>
      <c r="H26" s="13"/>
      <c r="I26" s="13"/>
      <c r="J26" s="13"/>
      <c r="K26" s="16"/>
      <c r="L26" s="13"/>
      <c r="M26" s="13"/>
      <c r="N26" s="13"/>
      <c r="O26" s="38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</row>
    <row r="27" spans="1:43" ht="13.05" customHeight="1" x14ac:dyDescent="0.3">
      <c r="A27" s="13"/>
      <c r="B27" s="34" t="str">
        <f t="shared" si="0"/>
        <v/>
      </c>
      <c r="C27" s="13"/>
      <c r="D27" s="38"/>
      <c r="E27" s="13"/>
      <c r="F27" s="13"/>
      <c r="G27" s="16"/>
      <c r="H27" s="13"/>
      <c r="I27" s="13"/>
      <c r="J27" s="13"/>
      <c r="K27" s="16"/>
      <c r="L27" s="13"/>
      <c r="M27" s="13"/>
      <c r="N27" s="13"/>
      <c r="O27" s="38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</row>
    <row r="28" spans="1:43" ht="13.05" customHeight="1" x14ac:dyDescent="0.3">
      <c r="A28" s="13"/>
      <c r="B28" s="34" t="str">
        <f t="shared" si="0"/>
        <v/>
      </c>
      <c r="C28" s="13"/>
      <c r="D28" s="38"/>
      <c r="E28" s="13"/>
      <c r="F28" s="13"/>
      <c r="G28" s="16"/>
      <c r="H28" s="13"/>
      <c r="I28" s="13"/>
      <c r="J28" s="13"/>
      <c r="K28" s="16"/>
      <c r="L28" s="13"/>
      <c r="M28" s="13"/>
      <c r="N28" s="13"/>
      <c r="O28" s="38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</row>
    <row r="29" spans="1:43" ht="13.05" customHeight="1" x14ac:dyDescent="0.3">
      <c r="A29" s="13"/>
      <c r="B29" s="34" t="str">
        <f t="shared" si="0"/>
        <v/>
      </c>
      <c r="C29" s="13"/>
      <c r="D29" s="38"/>
      <c r="E29" s="13"/>
      <c r="F29" s="13"/>
      <c r="G29" s="16"/>
      <c r="H29" s="13"/>
      <c r="I29" s="13"/>
      <c r="J29" s="13"/>
      <c r="K29" s="16"/>
      <c r="L29" s="13"/>
      <c r="M29" s="13"/>
      <c r="N29" s="13"/>
      <c r="O29" s="38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</row>
    <row r="30" spans="1:43" ht="13.05" customHeight="1" x14ac:dyDescent="0.3">
      <c r="A30" s="13"/>
      <c r="B30" s="34" t="str">
        <f t="shared" si="0"/>
        <v/>
      </c>
      <c r="C30" s="13"/>
      <c r="D30" s="38"/>
      <c r="E30" s="13"/>
      <c r="F30" s="13"/>
      <c r="G30" s="16"/>
      <c r="H30" s="13"/>
      <c r="I30" s="13"/>
      <c r="J30" s="13"/>
      <c r="K30" s="16"/>
      <c r="L30" s="13"/>
      <c r="M30" s="13"/>
      <c r="N30" s="13"/>
      <c r="O30" s="38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</row>
    <row r="31" spans="1:43" ht="13.05" customHeight="1" x14ac:dyDescent="0.3">
      <c r="A31" s="13"/>
      <c r="B31" s="34" t="str">
        <f t="shared" si="0"/>
        <v/>
      </c>
      <c r="C31" s="13"/>
      <c r="D31" s="38"/>
      <c r="E31" s="13"/>
      <c r="F31" s="13"/>
      <c r="G31" s="16"/>
      <c r="H31" s="13"/>
      <c r="I31" s="13"/>
      <c r="J31" s="13"/>
      <c r="K31" s="16"/>
      <c r="L31" s="13"/>
      <c r="M31" s="13"/>
      <c r="N31" s="13"/>
      <c r="O31" s="38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</row>
    <row r="32" spans="1:43" ht="13.05" customHeight="1" x14ac:dyDescent="0.3">
      <c r="A32" s="13"/>
      <c r="B32" s="34" t="str">
        <f t="shared" si="0"/>
        <v/>
      </c>
      <c r="C32" s="13"/>
      <c r="D32" s="38"/>
      <c r="E32" s="13"/>
      <c r="F32" s="13"/>
      <c r="G32" s="16"/>
      <c r="H32" s="13"/>
      <c r="I32" s="13"/>
      <c r="J32" s="13"/>
      <c r="K32" s="16"/>
      <c r="L32" s="13"/>
      <c r="M32" s="13"/>
      <c r="N32" s="13"/>
      <c r="O32" s="38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</row>
    <row r="33" spans="1:43" ht="13.05" customHeight="1" x14ac:dyDescent="0.3">
      <c r="A33" s="13"/>
      <c r="B33" s="34" t="str">
        <f t="shared" si="0"/>
        <v/>
      </c>
      <c r="C33" s="13"/>
      <c r="D33" s="38"/>
      <c r="E33" s="13"/>
      <c r="F33" s="13"/>
      <c r="G33" s="16"/>
      <c r="H33" s="13"/>
      <c r="I33" s="13"/>
      <c r="J33" s="13"/>
      <c r="K33" s="16"/>
      <c r="L33" s="13"/>
      <c r="M33" s="13"/>
      <c r="N33" s="13"/>
      <c r="O33" s="38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</row>
    <row r="34" spans="1:43" ht="13.05" customHeight="1" x14ac:dyDescent="0.3">
      <c r="A34" s="13"/>
      <c r="B34" s="34" t="str">
        <f t="shared" si="0"/>
        <v/>
      </c>
      <c r="C34" s="13"/>
      <c r="D34" s="38"/>
      <c r="E34" s="13"/>
      <c r="F34" s="13"/>
      <c r="G34" s="16"/>
      <c r="H34" s="13"/>
      <c r="I34" s="13"/>
      <c r="J34" s="13"/>
      <c r="K34" s="16"/>
      <c r="L34" s="13"/>
      <c r="M34" s="13"/>
      <c r="N34" s="13"/>
      <c r="O34" s="38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</row>
    <row r="35" spans="1:43" ht="13.05" customHeight="1" x14ac:dyDescent="0.3">
      <c r="A35" s="13"/>
      <c r="B35" s="34" t="str">
        <f t="shared" si="0"/>
        <v/>
      </c>
      <c r="C35" s="13"/>
      <c r="D35" s="38"/>
      <c r="E35" s="13"/>
      <c r="F35" s="13"/>
      <c r="G35" s="16"/>
      <c r="H35" s="13"/>
      <c r="I35" s="13"/>
      <c r="J35" s="13"/>
      <c r="K35" s="16"/>
      <c r="L35" s="13"/>
      <c r="M35" s="13"/>
      <c r="N35" s="13"/>
      <c r="O35" s="38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</row>
    <row r="36" spans="1:43" ht="13.05" customHeight="1" x14ac:dyDescent="0.3">
      <c r="A36" s="13"/>
      <c r="B36" s="34" t="str">
        <f t="shared" si="0"/>
        <v/>
      </c>
      <c r="C36" s="13"/>
      <c r="D36" s="38"/>
      <c r="E36" s="13"/>
      <c r="F36" s="13"/>
      <c r="G36" s="16"/>
      <c r="H36" s="13"/>
      <c r="I36" s="13"/>
      <c r="J36" s="13"/>
      <c r="K36" s="16"/>
      <c r="L36" s="13"/>
      <c r="M36" s="13"/>
      <c r="N36" s="13"/>
      <c r="O36" s="38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</row>
    <row r="37" spans="1:43" ht="13.05" customHeight="1" x14ac:dyDescent="0.3">
      <c r="A37" s="13"/>
      <c r="B37" s="34" t="str">
        <f t="shared" si="0"/>
        <v/>
      </c>
      <c r="C37" s="13"/>
      <c r="D37" s="38"/>
      <c r="E37" s="13"/>
      <c r="F37" s="13"/>
      <c r="G37" s="16"/>
      <c r="H37" s="13"/>
      <c r="I37" s="13"/>
      <c r="J37" s="13"/>
      <c r="K37" s="16"/>
      <c r="L37" s="13"/>
      <c r="M37" s="13"/>
      <c r="N37" s="13"/>
      <c r="O37" s="38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</row>
    <row r="38" spans="1:43" ht="13.05" customHeight="1" x14ac:dyDescent="0.3">
      <c r="A38" s="13"/>
      <c r="B38" s="34" t="str">
        <f t="shared" ref="B38:B69" si="2">IF(COUNTA(C38,D38,E38,H38,I38)=0,"","A"&amp;TEXT(ROW()-5,"000"))</f>
        <v/>
      </c>
      <c r="C38" s="13"/>
      <c r="D38" s="38"/>
      <c r="E38" s="13"/>
      <c r="F38" s="13"/>
      <c r="G38" s="16"/>
      <c r="H38" s="13"/>
      <c r="I38" s="13"/>
      <c r="J38" s="13"/>
      <c r="K38" s="16"/>
      <c r="L38" s="13"/>
      <c r="M38" s="13"/>
      <c r="N38" s="13"/>
      <c r="O38" s="38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</row>
    <row r="39" spans="1:43" ht="13.05" customHeight="1" x14ac:dyDescent="0.3">
      <c r="A39" s="13"/>
      <c r="B39" s="34" t="str">
        <f t="shared" si="2"/>
        <v/>
      </c>
      <c r="C39" s="13"/>
      <c r="D39" s="38"/>
      <c r="E39" s="13"/>
      <c r="F39" s="13"/>
      <c r="G39" s="16"/>
      <c r="H39" s="13"/>
      <c r="I39" s="13"/>
      <c r="J39" s="13"/>
      <c r="K39" s="16"/>
      <c r="L39" s="13"/>
      <c r="M39" s="13"/>
      <c r="N39" s="13"/>
      <c r="O39" s="38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</row>
    <row r="40" spans="1:43" ht="13.05" customHeight="1" x14ac:dyDescent="0.3">
      <c r="A40" s="13"/>
      <c r="B40" s="34" t="str">
        <f t="shared" si="2"/>
        <v/>
      </c>
      <c r="C40" s="13"/>
      <c r="D40" s="38"/>
      <c r="E40" s="13"/>
      <c r="F40" s="13"/>
      <c r="G40" s="16"/>
      <c r="H40" s="13"/>
      <c r="I40" s="13"/>
      <c r="J40" s="13"/>
      <c r="K40" s="16"/>
      <c r="L40" s="13"/>
      <c r="M40" s="13"/>
      <c r="N40" s="13"/>
      <c r="O40" s="38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</row>
    <row r="41" spans="1:43" ht="13.05" customHeight="1" x14ac:dyDescent="0.3">
      <c r="A41" s="13"/>
      <c r="B41" s="34" t="str">
        <f t="shared" si="2"/>
        <v/>
      </c>
      <c r="C41" s="13"/>
      <c r="D41" s="38"/>
      <c r="E41" s="13"/>
      <c r="F41" s="13"/>
      <c r="G41" s="16"/>
      <c r="H41" s="13"/>
      <c r="I41" s="13"/>
      <c r="J41" s="13"/>
      <c r="K41" s="16"/>
      <c r="L41" s="13"/>
      <c r="M41" s="13"/>
      <c r="N41" s="13"/>
      <c r="O41" s="38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</row>
    <row r="42" spans="1:43" ht="13.05" customHeight="1" x14ac:dyDescent="0.3">
      <c r="A42" s="13"/>
      <c r="B42" s="34" t="str">
        <f t="shared" si="2"/>
        <v/>
      </c>
      <c r="C42" s="13"/>
      <c r="D42" s="38"/>
      <c r="E42" s="13"/>
      <c r="F42" s="13"/>
      <c r="G42" s="16"/>
      <c r="H42" s="13"/>
      <c r="I42" s="13"/>
      <c r="J42" s="13"/>
      <c r="K42" s="16"/>
      <c r="L42" s="13"/>
      <c r="M42" s="13"/>
      <c r="N42" s="13"/>
      <c r="O42" s="38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</row>
    <row r="43" spans="1:43" ht="13.05" customHeight="1" x14ac:dyDescent="0.3">
      <c r="A43" s="13"/>
      <c r="B43" s="34" t="str">
        <f t="shared" si="2"/>
        <v/>
      </c>
      <c r="C43" s="13"/>
      <c r="D43" s="38"/>
      <c r="E43" s="13"/>
      <c r="F43" s="13"/>
      <c r="G43" s="16"/>
      <c r="H43" s="13"/>
      <c r="I43" s="13"/>
      <c r="J43" s="13"/>
      <c r="K43" s="16"/>
      <c r="L43" s="13"/>
      <c r="M43" s="13"/>
      <c r="N43" s="13"/>
      <c r="O43" s="38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</row>
    <row r="44" spans="1:43" ht="13.05" customHeight="1" x14ac:dyDescent="0.3">
      <c r="A44" s="13"/>
      <c r="B44" s="34" t="str">
        <f t="shared" si="2"/>
        <v/>
      </c>
      <c r="C44" s="13"/>
      <c r="D44" s="38"/>
      <c r="E44" s="13"/>
      <c r="F44" s="13"/>
      <c r="G44" s="16"/>
      <c r="H44" s="13"/>
      <c r="I44" s="13"/>
      <c r="J44" s="13"/>
      <c r="K44" s="16"/>
      <c r="L44" s="13"/>
      <c r="M44" s="13"/>
      <c r="N44" s="13"/>
      <c r="O44" s="38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</row>
    <row r="45" spans="1:43" ht="13.05" customHeight="1" x14ac:dyDescent="0.3">
      <c r="A45" s="13"/>
      <c r="B45" s="34" t="str">
        <f t="shared" si="2"/>
        <v/>
      </c>
      <c r="C45" s="13"/>
      <c r="D45" s="38"/>
      <c r="E45" s="13"/>
      <c r="F45" s="13"/>
      <c r="G45" s="16"/>
      <c r="H45" s="13"/>
      <c r="I45" s="13"/>
      <c r="J45" s="13"/>
      <c r="K45" s="16"/>
      <c r="L45" s="13"/>
      <c r="M45" s="13"/>
      <c r="N45" s="13"/>
      <c r="O45" s="38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</row>
    <row r="46" spans="1:43" ht="13.05" customHeight="1" x14ac:dyDescent="0.3">
      <c r="A46" s="13"/>
      <c r="B46" s="34" t="str">
        <f t="shared" si="2"/>
        <v/>
      </c>
      <c r="C46" s="13"/>
      <c r="D46" s="38"/>
      <c r="E46" s="13"/>
      <c r="F46" s="13"/>
      <c r="G46" s="16"/>
      <c r="H46" s="13"/>
      <c r="I46" s="13"/>
      <c r="J46" s="13"/>
      <c r="K46" s="16"/>
      <c r="L46" s="13"/>
      <c r="M46" s="13"/>
      <c r="N46" s="13"/>
      <c r="O46" s="38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</row>
    <row r="47" spans="1:43" ht="13.05" customHeight="1" x14ac:dyDescent="0.3">
      <c r="A47" s="13"/>
      <c r="B47" s="34" t="str">
        <f t="shared" si="2"/>
        <v/>
      </c>
      <c r="C47" s="13"/>
      <c r="D47" s="38"/>
      <c r="E47" s="13"/>
      <c r="F47" s="13"/>
      <c r="G47" s="16"/>
      <c r="H47" s="13"/>
      <c r="I47" s="13"/>
      <c r="J47" s="13"/>
      <c r="K47" s="16"/>
      <c r="L47" s="13"/>
      <c r="M47" s="13"/>
      <c r="N47" s="13"/>
      <c r="O47" s="38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</row>
    <row r="48" spans="1:43" ht="13.05" customHeight="1" x14ac:dyDescent="0.3">
      <c r="A48" s="13"/>
      <c r="B48" s="34" t="str">
        <f t="shared" si="2"/>
        <v/>
      </c>
      <c r="C48" s="13"/>
      <c r="D48" s="38"/>
      <c r="E48" s="13"/>
      <c r="F48" s="13"/>
      <c r="G48" s="16"/>
      <c r="H48" s="13"/>
      <c r="I48" s="13"/>
      <c r="J48" s="13"/>
      <c r="K48" s="16"/>
      <c r="L48" s="13"/>
      <c r="M48" s="13"/>
      <c r="N48" s="13"/>
      <c r="O48" s="38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</row>
    <row r="49" spans="1:43" ht="13.05" customHeight="1" x14ac:dyDescent="0.3">
      <c r="A49" s="13"/>
      <c r="B49" s="34" t="str">
        <f t="shared" si="2"/>
        <v/>
      </c>
      <c r="C49" s="13"/>
      <c r="D49" s="38"/>
      <c r="E49" s="13"/>
      <c r="F49" s="13"/>
      <c r="G49" s="16"/>
      <c r="H49" s="13"/>
      <c r="I49" s="13"/>
      <c r="J49" s="13"/>
      <c r="K49" s="16"/>
      <c r="L49" s="13"/>
      <c r="M49" s="13"/>
      <c r="N49" s="13"/>
      <c r="O49" s="38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</row>
    <row r="50" spans="1:43" ht="13.05" customHeight="1" x14ac:dyDescent="0.3">
      <c r="A50" s="13"/>
      <c r="B50" s="34" t="str">
        <f t="shared" si="2"/>
        <v/>
      </c>
      <c r="C50" s="13"/>
      <c r="D50" s="38"/>
      <c r="E50" s="13"/>
      <c r="F50" s="13"/>
      <c r="G50" s="16"/>
      <c r="H50" s="13"/>
      <c r="I50" s="13"/>
      <c r="J50" s="13"/>
      <c r="K50" s="16"/>
      <c r="L50" s="13"/>
      <c r="M50" s="13"/>
      <c r="N50" s="13"/>
      <c r="O50" s="38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</row>
    <row r="51" spans="1:43" ht="13.05" customHeight="1" x14ac:dyDescent="0.3">
      <c r="A51" s="13"/>
      <c r="B51" s="34" t="str">
        <f t="shared" si="2"/>
        <v/>
      </c>
      <c r="C51" s="13"/>
      <c r="D51" s="38"/>
      <c r="E51" s="13"/>
      <c r="F51" s="13"/>
      <c r="G51" s="16"/>
      <c r="H51" s="13"/>
      <c r="I51" s="13"/>
      <c r="J51" s="13"/>
      <c r="K51" s="16"/>
      <c r="L51" s="13"/>
      <c r="M51" s="13"/>
      <c r="N51" s="13"/>
      <c r="O51" s="38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</row>
    <row r="52" spans="1:43" ht="13.05" customHeight="1" x14ac:dyDescent="0.3">
      <c r="A52" s="13"/>
      <c r="B52" s="34" t="str">
        <f t="shared" si="2"/>
        <v/>
      </c>
      <c r="C52" s="13"/>
      <c r="D52" s="38"/>
      <c r="E52" s="13"/>
      <c r="F52" s="13"/>
      <c r="G52" s="16"/>
      <c r="H52" s="13"/>
      <c r="I52" s="13"/>
      <c r="J52" s="13"/>
      <c r="K52" s="16"/>
      <c r="L52" s="13"/>
      <c r="M52" s="13"/>
      <c r="N52" s="13"/>
      <c r="O52" s="38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</row>
    <row r="53" spans="1:43" ht="13.05" customHeight="1" x14ac:dyDescent="0.3">
      <c r="A53" s="13"/>
      <c r="B53" s="34" t="str">
        <f t="shared" si="2"/>
        <v/>
      </c>
      <c r="C53" s="13"/>
      <c r="D53" s="38"/>
      <c r="E53" s="13"/>
      <c r="F53" s="13"/>
      <c r="G53" s="16"/>
      <c r="H53" s="13"/>
      <c r="I53" s="13"/>
      <c r="J53" s="13"/>
      <c r="K53" s="16"/>
      <c r="L53" s="13"/>
      <c r="M53" s="13"/>
      <c r="N53" s="13"/>
      <c r="O53" s="38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</row>
    <row r="54" spans="1:43" ht="13.05" customHeight="1" x14ac:dyDescent="0.3">
      <c r="A54" s="13"/>
      <c r="B54" s="34" t="str">
        <f t="shared" si="2"/>
        <v/>
      </c>
      <c r="C54" s="13"/>
      <c r="D54" s="38"/>
      <c r="E54" s="13"/>
      <c r="F54" s="13"/>
      <c r="G54" s="16"/>
      <c r="H54" s="13"/>
      <c r="I54" s="13"/>
      <c r="J54" s="13"/>
      <c r="K54" s="16"/>
      <c r="L54" s="13"/>
      <c r="M54" s="13"/>
      <c r="N54" s="13"/>
      <c r="O54" s="38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</row>
    <row r="55" spans="1:43" ht="13.05" customHeight="1" x14ac:dyDescent="0.3">
      <c r="A55" s="13"/>
      <c r="B55" s="34" t="str">
        <f t="shared" si="2"/>
        <v/>
      </c>
      <c r="C55" s="13"/>
      <c r="D55" s="38"/>
      <c r="E55" s="13"/>
      <c r="F55" s="13"/>
      <c r="G55" s="16"/>
      <c r="H55" s="13"/>
      <c r="I55" s="13"/>
      <c r="J55" s="13"/>
      <c r="K55" s="16"/>
      <c r="L55" s="13"/>
      <c r="M55" s="13"/>
      <c r="N55" s="13"/>
      <c r="O55" s="38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</row>
    <row r="56" spans="1:43" ht="13.05" customHeight="1" x14ac:dyDescent="0.3">
      <c r="A56" s="13"/>
      <c r="B56" s="34" t="str">
        <f t="shared" si="2"/>
        <v/>
      </c>
      <c r="C56" s="13"/>
      <c r="D56" s="38"/>
      <c r="E56" s="13"/>
      <c r="F56" s="13"/>
      <c r="G56" s="16"/>
      <c r="H56" s="13"/>
      <c r="I56" s="13"/>
      <c r="J56" s="13"/>
      <c r="K56" s="16"/>
      <c r="L56" s="13"/>
      <c r="M56" s="13"/>
      <c r="N56" s="13"/>
      <c r="O56" s="38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</row>
    <row r="57" spans="1:43" ht="13.05" customHeight="1" x14ac:dyDescent="0.3">
      <c r="A57" s="13"/>
      <c r="B57" s="34" t="str">
        <f t="shared" si="2"/>
        <v/>
      </c>
      <c r="C57" s="13"/>
      <c r="D57" s="38"/>
      <c r="E57" s="13"/>
      <c r="F57" s="13"/>
      <c r="G57" s="16"/>
      <c r="H57" s="13"/>
      <c r="I57" s="13"/>
      <c r="J57" s="13"/>
      <c r="K57" s="16"/>
      <c r="L57" s="13"/>
      <c r="M57" s="13"/>
      <c r="N57" s="13"/>
      <c r="O57" s="38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</row>
    <row r="58" spans="1:43" ht="13.05" customHeight="1" x14ac:dyDescent="0.3">
      <c r="A58" s="13"/>
      <c r="B58" s="34" t="str">
        <f t="shared" si="2"/>
        <v/>
      </c>
      <c r="C58" s="13"/>
      <c r="D58" s="38"/>
      <c r="E58" s="13"/>
      <c r="F58" s="13"/>
      <c r="G58" s="16"/>
      <c r="H58" s="13"/>
      <c r="I58" s="13"/>
      <c r="J58" s="13"/>
      <c r="K58" s="16"/>
      <c r="L58" s="13"/>
      <c r="M58" s="13"/>
      <c r="N58" s="13"/>
      <c r="O58" s="38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</row>
    <row r="59" spans="1:43" ht="13.05" customHeight="1" x14ac:dyDescent="0.3">
      <c r="A59" s="13"/>
      <c r="B59" s="34" t="str">
        <f t="shared" si="2"/>
        <v/>
      </c>
      <c r="C59" s="13"/>
      <c r="D59" s="38"/>
      <c r="E59" s="13"/>
      <c r="F59" s="13"/>
      <c r="G59" s="16"/>
      <c r="H59" s="13"/>
      <c r="I59" s="13"/>
      <c r="J59" s="13"/>
      <c r="K59" s="16"/>
      <c r="L59" s="13"/>
      <c r="M59" s="13"/>
      <c r="N59" s="13"/>
      <c r="O59" s="38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</row>
    <row r="60" spans="1:43" ht="13.05" customHeight="1" x14ac:dyDescent="0.3">
      <c r="A60" s="13"/>
      <c r="B60" s="34" t="str">
        <f t="shared" si="2"/>
        <v/>
      </c>
      <c r="C60" s="13"/>
      <c r="D60" s="38"/>
      <c r="E60" s="13"/>
      <c r="F60" s="13"/>
      <c r="G60" s="16"/>
      <c r="H60" s="13"/>
      <c r="I60" s="13"/>
      <c r="J60" s="13"/>
      <c r="K60" s="16"/>
      <c r="L60" s="13"/>
      <c r="M60" s="13"/>
      <c r="N60" s="13"/>
      <c r="O60" s="38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</row>
    <row r="61" spans="1:43" ht="13.05" customHeight="1" x14ac:dyDescent="0.3">
      <c r="A61" s="13"/>
      <c r="B61" s="34" t="str">
        <f t="shared" si="2"/>
        <v/>
      </c>
      <c r="C61" s="13"/>
      <c r="D61" s="38"/>
      <c r="E61" s="13"/>
      <c r="F61" s="13"/>
      <c r="G61" s="16"/>
      <c r="H61" s="13"/>
      <c r="I61" s="13"/>
      <c r="J61" s="13"/>
      <c r="K61" s="16"/>
      <c r="L61" s="13"/>
      <c r="M61" s="13"/>
      <c r="N61" s="13"/>
      <c r="O61" s="38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</row>
    <row r="62" spans="1:43" ht="13.05" customHeight="1" x14ac:dyDescent="0.3">
      <c r="A62" s="13"/>
      <c r="B62" s="34" t="str">
        <f t="shared" si="2"/>
        <v/>
      </c>
      <c r="C62" s="13"/>
      <c r="D62" s="38"/>
      <c r="E62" s="13"/>
      <c r="F62" s="13"/>
      <c r="G62" s="16"/>
      <c r="H62" s="13"/>
      <c r="I62" s="13"/>
      <c r="J62" s="13"/>
      <c r="K62" s="16"/>
      <c r="L62" s="13"/>
      <c r="M62" s="13"/>
      <c r="N62" s="13"/>
      <c r="O62" s="38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</row>
    <row r="63" spans="1:43" ht="13.05" customHeight="1" x14ac:dyDescent="0.3">
      <c r="A63" s="13"/>
      <c r="B63" s="34" t="str">
        <f t="shared" si="2"/>
        <v/>
      </c>
      <c r="C63" s="13"/>
      <c r="D63" s="38"/>
      <c r="E63" s="13"/>
      <c r="F63" s="13"/>
      <c r="G63" s="16"/>
      <c r="H63" s="13"/>
      <c r="I63" s="13"/>
      <c r="J63" s="13"/>
      <c r="K63" s="16"/>
      <c r="L63" s="13"/>
      <c r="M63" s="13"/>
      <c r="N63" s="13"/>
      <c r="O63" s="38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</row>
    <row r="64" spans="1:43" ht="13.05" customHeight="1" x14ac:dyDescent="0.3">
      <c r="A64" s="13"/>
      <c r="B64" s="34" t="str">
        <f t="shared" si="2"/>
        <v/>
      </c>
      <c r="C64" s="13"/>
      <c r="D64" s="38"/>
      <c r="E64" s="13"/>
      <c r="F64" s="13"/>
      <c r="G64" s="16"/>
      <c r="H64" s="13"/>
      <c r="I64" s="13"/>
      <c r="J64" s="13"/>
      <c r="K64" s="16"/>
      <c r="L64" s="13"/>
      <c r="M64" s="13"/>
      <c r="N64" s="13"/>
      <c r="O64" s="38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</row>
    <row r="65" spans="1:43" ht="13.05" customHeight="1" x14ac:dyDescent="0.3">
      <c r="A65" s="13"/>
      <c r="B65" s="34" t="str">
        <f t="shared" si="2"/>
        <v/>
      </c>
      <c r="C65" s="13"/>
      <c r="D65" s="38"/>
      <c r="E65" s="13"/>
      <c r="F65" s="13"/>
      <c r="G65" s="16"/>
      <c r="H65" s="13"/>
      <c r="I65" s="13"/>
      <c r="J65" s="13"/>
      <c r="K65" s="16"/>
      <c r="L65" s="13"/>
      <c r="M65" s="13"/>
      <c r="N65" s="13"/>
      <c r="O65" s="38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</row>
    <row r="66" spans="1:43" ht="13.05" customHeight="1" x14ac:dyDescent="0.3">
      <c r="A66" s="13"/>
      <c r="B66" s="34" t="str">
        <f t="shared" si="2"/>
        <v/>
      </c>
      <c r="C66" s="13"/>
      <c r="D66" s="38"/>
      <c r="E66" s="13"/>
      <c r="F66" s="13"/>
      <c r="G66" s="16"/>
      <c r="H66" s="13"/>
      <c r="I66" s="13"/>
      <c r="J66" s="13"/>
      <c r="K66" s="16"/>
      <c r="L66" s="13"/>
      <c r="M66" s="13"/>
      <c r="N66" s="13"/>
      <c r="O66" s="38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</row>
    <row r="67" spans="1:43" ht="13.05" customHeight="1" x14ac:dyDescent="0.3">
      <c r="A67" s="13"/>
      <c r="B67" s="34" t="str">
        <f t="shared" si="2"/>
        <v/>
      </c>
      <c r="C67" s="13"/>
      <c r="D67" s="38"/>
      <c r="E67" s="13"/>
      <c r="F67" s="13"/>
      <c r="G67" s="16"/>
      <c r="H67" s="13"/>
      <c r="I67" s="13"/>
      <c r="J67" s="13"/>
      <c r="K67" s="16"/>
      <c r="L67" s="13"/>
      <c r="M67" s="13"/>
      <c r="N67" s="13"/>
      <c r="O67" s="38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</row>
    <row r="68" spans="1:43" ht="13.05" customHeight="1" x14ac:dyDescent="0.3">
      <c r="A68" s="13"/>
      <c r="B68" s="34" t="str">
        <f t="shared" si="2"/>
        <v/>
      </c>
      <c r="C68" s="13"/>
      <c r="D68" s="38"/>
      <c r="E68" s="13"/>
      <c r="F68" s="13"/>
      <c r="G68" s="16"/>
      <c r="H68" s="13"/>
      <c r="I68" s="13"/>
      <c r="J68" s="13"/>
      <c r="K68" s="16"/>
      <c r="L68" s="13"/>
      <c r="M68" s="13"/>
      <c r="N68" s="13"/>
      <c r="O68" s="38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</row>
    <row r="69" spans="1:43" ht="13.05" customHeight="1" x14ac:dyDescent="0.3">
      <c r="A69" s="13"/>
      <c r="B69" s="34" t="str">
        <f t="shared" si="2"/>
        <v/>
      </c>
      <c r="C69" s="13"/>
      <c r="D69" s="38"/>
      <c r="E69" s="13"/>
      <c r="F69" s="13"/>
      <c r="G69" s="16"/>
      <c r="H69" s="13"/>
      <c r="I69" s="13"/>
      <c r="J69" s="13"/>
      <c r="K69" s="16"/>
      <c r="L69" s="13"/>
      <c r="M69" s="13"/>
      <c r="N69" s="13"/>
      <c r="O69" s="38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</row>
    <row r="70" spans="1:43" ht="13.05" customHeight="1" x14ac:dyDescent="0.3">
      <c r="A70" s="13"/>
      <c r="B70" s="34" t="str">
        <f t="shared" ref="B70:B101" si="3">IF(COUNTA(C70,D70,E70,H70,I70)=0,"","A"&amp;TEXT(ROW()-5,"000"))</f>
        <v/>
      </c>
      <c r="C70" s="13"/>
      <c r="D70" s="38"/>
      <c r="E70" s="13"/>
      <c r="F70" s="13"/>
      <c r="G70" s="16"/>
      <c r="H70" s="13"/>
      <c r="I70" s="13"/>
      <c r="J70" s="13"/>
      <c r="K70" s="16"/>
      <c r="L70" s="13"/>
      <c r="M70" s="13"/>
      <c r="N70" s="13"/>
      <c r="O70" s="38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</row>
    <row r="71" spans="1:43" ht="13.05" customHeight="1" x14ac:dyDescent="0.3">
      <c r="A71" s="13"/>
      <c r="B71" s="34" t="str">
        <f t="shared" si="3"/>
        <v/>
      </c>
      <c r="C71" s="13"/>
      <c r="D71" s="38"/>
      <c r="E71" s="13"/>
      <c r="F71" s="13"/>
      <c r="G71" s="16"/>
      <c r="H71" s="13"/>
      <c r="I71" s="13"/>
      <c r="J71" s="13"/>
      <c r="K71" s="16"/>
      <c r="L71" s="13"/>
      <c r="M71" s="13"/>
      <c r="N71" s="13"/>
      <c r="O71" s="38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</row>
    <row r="72" spans="1:43" ht="13.05" customHeight="1" x14ac:dyDescent="0.3">
      <c r="A72" s="13"/>
      <c r="B72" s="34" t="str">
        <f t="shared" si="3"/>
        <v/>
      </c>
      <c r="C72" s="13"/>
      <c r="D72" s="38"/>
      <c r="E72" s="13"/>
      <c r="F72" s="13"/>
      <c r="G72" s="16"/>
      <c r="H72" s="13"/>
      <c r="I72" s="13"/>
      <c r="J72" s="13"/>
      <c r="K72" s="16"/>
      <c r="L72" s="13"/>
      <c r="M72" s="13"/>
      <c r="N72" s="13"/>
      <c r="O72" s="38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</row>
    <row r="73" spans="1:43" ht="13.05" customHeight="1" x14ac:dyDescent="0.3">
      <c r="A73" s="13"/>
      <c r="B73" s="34" t="str">
        <f t="shared" si="3"/>
        <v/>
      </c>
      <c r="C73" s="13"/>
      <c r="D73" s="38"/>
      <c r="E73" s="13"/>
      <c r="F73" s="13"/>
      <c r="G73" s="16"/>
      <c r="H73" s="13"/>
      <c r="I73" s="13"/>
      <c r="J73" s="13"/>
      <c r="K73" s="16"/>
      <c r="L73" s="13"/>
      <c r="M73" s="13"/>
      <c r="N73" s="13"/>
      <c r="O73" s="38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</row>
    <row r="74" spans="1:43" ht="13.05" customHeight="1" x14ac:dyDescent="0.3">
      <c r="A74" s="13"/>
      <c r="B74" s="34" t="str">
        <f t="shared" si="3"/>
        <v/>
      </c>
      <c r="C74" s="13"/>
      <c r="D74" s="38"/>
      <c r="E74" s="13"/>
      <c r="F74" s="13"/>
      <c r="G74" s="16"/>
      <c r="H74" s="13"/>
      <c r="I74" s="13"/>
      <c r="J74" s="13"/>
      <c r="K74" s="16"/>
      <c r="L74" s="13"/>
      <c r="M74" s="13"/>
      <c r="N74" s="13"/>
      <c r="O74" s="38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</row>
    <row r="75" spans="1:43" ht="13.05" customHeight="1" x14ac:dyDescent="0.3">
      <c r="A75" s="13"/>
      <c r="B75" s="34" t="str">
        <f t="shared" si="3"/>
        <v/>
      </c>
      <c r="C75" s="13"/>
      <c r="D75" s="38"/>
      <c r="E75" s="13"/>
      <c r="F75" s="13"/>
      <c r="G75" s="16"/>
      <c r="H75" s="13"/>
      <c r="I75" s="13"/>
      <c r="J75" s="13"/>
      <c r="K75" s="16"/>
      <c r="L75" s="13"/>
      <c r="M75" s="13"/>
      <c r="N75" s="13"/>
      <c r="O75" s="38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</row>
    <row r="76" spans="1:43" ht="13.05" customHeight="1" x14ac:dyDescent="0.3">
      <c r="A76" s="13"/>
      <c r="B76" s="34" t="str">
        <f t="shared" si="3"/>
        <v/>
      </c>
      <c r="C76" s="13"/>
      <c r="D76" s="38"/>
      <c r="E76" s="13"/>
      <c r="F76" s="13"/>
      <c r="G76" s="16"/>
      <c r="H76" s="13"/>
      <c r="I76" s="13"/>
      <c r="J76" s="13"/>
      <c r="K76" s="16"/>
      <c r="L76" s="13"/>
      <c r="M76" s="13"/>
      <c r="N76" s="13"/>
      <c r="O76" s="38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</row>
    <row r="77" spans="1:43" ht="13.05" customHeight="1" x14ac:dyDescent="0.3">
      <c r="A77" s="13"/>
      <c r="B77" s="34" t="str">
        <f t="shared" si="3"/>
        <v/>
      </c>
      <c r="C77" s="13"/>
      <c r="D77" s="38"/>
      <c r="E77" s="13"/>
      <c r="F77" s="13"/>
      <c r="G77" s="16"/>
      <c r="H77" s="13"/>
      <c r="I77" s="13"/>
      <c r="J77" s="13"/>
      <c r="K77" s="16"/>
      <c r="L77" s="13"/>
      <c r="M77" s="13"/>
      <c r="N77" s="13"/>
      <c r="O77" s="38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</row>
    <row r="78" spans="1:43" ht="13.05" customHeight="1" x14ac:dyDescent="0.3">
      <c r="A78" s="13"/>
      <c r="B78" s="34" t="str">
        <f t="shared" si="3"/>
        <v/>
      </c>
      <c r="C78" s="13"/>
      <c r="D78" s="38"/>
      <c r="E78" s="13"/>
      <c r="F78" s="13"/>
      <c r="G78" s="16"/>
      <c r="H78" s="13"/>
      <c r="I78" s="13"/>
      <c r="J78" s="13"/>
      <c r="K78" s="16"/>
      <c r="L78" s="13"/>
      <c r="M78" s="13"/>
      <c r="N78" s="13"/>
      <c r="O78" s="38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</row>
    <row r="79" spans="1:43" ht="13.05" customHeight="1" x14ac:dyDescent="0.3">
      <c r="A79" s="13"/>
      <c r="B79" s="34" t="str">
        <f t="shared" si="3"/>
        <v/>
      </c>
      <c r="C79" s="13"/>
      <c r="D79" s="38"/>
      <c r="E79" s="13"/>
      <c r="F79" s="13"/>
      <c r="G79" s="16"/>
      <c r="H79" s="13"/>
      <c r="I79" s="13"/>
      <c r="J79" s="13"/>
      <c r="K79" s="16"/>
      <c r="L79" s="13"/>
      <c r="M79" s="13"/>
      <c r="N79" s="13"/>
      <c r="O79" s="38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</row>
    <row r="80" spans="1:43" ht="13.05" customHeight="1" x14ac:dyDescent="0.3">
      <c r="A80" s="13"/>
      <c r="B80" s="34" t="str">
        <f t="shared" si="3"/>
        <v/>
      </c>
      <c r="C80" s="13"/>
      <c r="D80" s="38"/>
      <c r="E80" s="13"/>
      <c r="F80" s="13"/>
      <c r="G80" s="16"/>
      <c r="H80" s="13"/>
      <c r="I80" s="13"/>
      <c r="J80" s="13"/>
      <c r="K80" s="16"/>
      <c r="L80" s="13"/>
      <c r="M80" s="13"/>
      <c r="N80" s="13"/>
      <c r="O80" s="38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</row>
    <row r="81" spans="1:43" ht="13.05" customHeight="1" x14ac:dyDescent="0.3">
      <c r="A81" s="13"/>
      <c r="B81" s="34" t="str">
        <f t="shared" si="3"/>
        <v/>
      </c>
      <c r="C81" s="13"/>
      <c r="D81" s="38"/>
      <c r="E81" s="13"/>
      <c r="F81" s="13"/>
      <c r="G81" s="16"/>
      <c r="H81" s="13"/>
      <c r="I81" s="13"/>
      <c r="J81" s="13"/>
      <c r="K81" s="16"/>
      <c r="L81" s="13"/>
      <c r="M81" s="13"/>
      <c r="N81" s="13"/>
      <c r="O81" s="38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</row>
    <row r="82" spans="1:43" ht="13.05" customHeight="1" x14ac:dyDescent="0.3">
      <c r="A82" s="13"/>
      <c r="B82" s="34" t="str">
        <f t="shared" si="3"/>
        <v/>
      </c>
      <c r="C82" s="13"/>
      <c r="D82" s="38"/>
      <c r="E82" s="13"/>
      <c r="F82" s="13"/>
      <c r="G82" s="16"/>
      <c r="H82" s="13"/>
      <c r="I82" s="13"/>
      <c r="J82" s="13"/>
      <c r="K82" s="16"/>
      <c r="L82" s="13"/>
      <c r="M82" s="13"/>
      <c r="N82" s="13"/>
      <c r="O82" s="38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</row>
    <row r="83" spans="1:43" ht="13.05" customHeight="1" x14ac:dyDescent="0.3">
      <c r="A83" s="13"/>
      <c r="B83" s="34" t="str">
        <f t="shared" si="3"/>
        <v/>
      </c>
      <c r="C83" s="13"/>
      <c r="D83" s="38"/>
      <c r="E83" s="13"/>
      <c r="F83" s="13"/>
      <c r="G83" s="16"/>
      <c r="H83" s="13"/>
      <c r="I83" s="13"/>
      <c r="J83" s="13"/>
      <c r="K83" s="16"/>
      <c r="L83" s="13"/>
      <c r="M83" s="13"/>
      <c r="N83" s="13"/>
      <c r="O83" s="38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</row>
    <row r="84" spans="1:43" ht="13.05" customHeight="1" x14ac:dyDescent="0.3">
      <c r="A84" s="13"/>
      <c r="B84" s="34" t="str">
        <f t="shared" si="3"/>
        <v/>
      </c>
      <c r="C84" s="13"/>
      <c r="D84" s="38"/>
      <c r="E84" s="13"/>
      <c r="F84" s="13"/>
      <c r="G84" s="16"/>
      <c r="H84" s="13"/>
      <c r="I84" s="13"/>
      <c r="J84" s="13"/>
      <c r="K84" s="16"/>
      <c r="L84" s="13"/>
      <c r="M84" s="13"/>
      <c r="N84" s="13"/>
      <c r="O84" s="38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</row>
    <row r="85" spans="1:43" ht="13.05" customHeight="1" x14ac:dyDescent="0.3">
      <c r="A85" s="13"/>
      <c r="B85" s="34" t="str">
        <f t="shared" si="3"/>
        <v/>
      </c>
      <c r="C85" s="13"/>
      <c r="D85" s="38"/>
      <c r="E85" s="13"/>
      <c r="F85" s="13"/>
      <c r="G85" s="16"/>
      <c r="H85" s="13"/>
      <c r="I85" s="13"/>
      <c r="J85" s="13"/>
      <c r="K85" s="16"/>
      <c r="L85" s="13"/>
      <c r="M85" s="13"/>
      <c r="N85" s="13"/>
      <c r="O85" s="38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</row>
    <row r="86" spans="1:43" ht="13.05" customHeight="1" x14ac:dyDescent="0.3">
      <c r="A86" s="13"/>
      <c r="B86" s="34" t="str">
        <f t="shared" si="3"/>
        <v/>
      </c>
      <c r="C86" s="13"/>
      <c r="D86" s="38"/>
      <c r="E86" s="13"/>
      <c r="F86" s="13"/>
      <c r="G86" s="16"/>
      <c r="H86" s="13"/>
      <c r="I86" s="13"/>
      <c r="J86" s="13"/>
      <c r="K86" s="16"/>
      <c r="L86" s="13"/>
      <c r="M86" s="13"/>
      <c r="N86" s="13"/>
      <c r="O86" s="38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</row>
    <row r="87" spans="1:43" ht="13.05" customHeight="1" x14ac:dyDescent="0.3">
      <c r="A87" s="13"/>
      <c r="B87" s="34" t="str">
        <f t="shared" si="3"/>
        <v/>
      </c>
      <c r="C87" s="13"/>
      <c r="D87" s="38"/>
      <c r="E87" s="13"/>
      <c r="F87" s="13"/>
      <c r="G87" s="16"/>
      <c r="H87" s="13"/>
      <c r="I87" s="13"/>
      <c r="J87" s="13"/>
      <c r="K87" s="16"/>
      <c r="L87" s="13"/>
      <c r="M87" s="13"/>
      <c r="N87" s="13"/>
      <c r="O87" s="38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</row>
    <row r="88" spans="1:43" ht="13.05" customHeight="1" x14ac:dyDescent="0.3">
      <c r="A88" s="13"/>
      <c r="B88" s="34" t="str">
        <f t="shared" si="3"/>
        <v/>
      </c>
      <c r="C88" s="13"/>
      <c r="D88" s="38"/>
      <c r="E88" s="13"/>
      <c r="F88" s="13"/>
      <c r="G88" s="16"/>
      <c r="H88" s="13"/>
      <c r="I88" s="13"/>
      <c r="J88" s="13"/>
      <c r="K88" s="16"/>
      <c r="L88" s="13"/>
      <c r="M88" s="13"/>
      <c r="N88" s="13"/>
      <c r="O88" s="38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</row>
    <row r="89" spans="1:43" ht="13.05" customHeight="1" x14ac:dyDescent="0.3">
      <c r="A89" s="13"/>
      <c r="B89" s="34" t="str">
        <f t="shared" si="3"/>
        <v/>
      </c>
      <c r="C89" s="13"/>
      <c r="D89" s="38"/>
      <c r="E89" s="13"/>
      <c r="F89" s="13"/>
      <c r="G89" s="16"/>
      <c r="H89" s="13"/>
      <c r="I89" s="13"/>
      <c r="J89" s="13"/>
      <c r="K89" s="16"/>
      <c r="L89" s="13"/>
      <c r="M89" s="13"/>
      <c r="N89" s="13"/>
      <c r="O89" s="38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</row>
    <row r="90" spans="1:43" ht="13.05" customHeight="1" x14ac:dyDescent="0.3">
      <c r="A90" s="13"/>
      <c r="B90" s="34" t="str">
        <f t="shared" si="3"/>
        <v/>
      </c>
      <c r="C90" s="13"/>
      <c r="D90" s="38"/>
      <c r="E90" s="13"/>
      <c r="F90" s="13"/>
      <c r="G90" s="16"/>
      <c r="H90" s="13"/>
      <c r="I90" s="13"/>
      <c r="J90" s="13"/>
      <c r="K90" s="16"/>
      <c r="L90" s="13"/>
      <c r="M90" s="13"/>
      <c r="N90" s="13"/>
      <c r="O90" s="38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</row>
    <row r="91" spans="1:43" ht="13.05" customHeight="1" x14ac:dyDescent="0.3">
      <c r="A91" s="13"/>
      <c r="B91" s="34" t="str">
        <f t="shared" si="3"/>
        <v/>
      </c>
      <c r="C91" s="13"/>
      <c r="D91" s="38"/>
      <c r="E91" s="13"/>
      <c r="F91" s="13"/>
      <c r="G91" s="16"/>
      <c r="H91" s="13"/>
      <c r="I91" s="13"/>
      <c r="J91" s="13"/>
      <c r="K91" s="16"/>
      <c r="L91" s="13"/>
      <c r="M91" s="13"/>
      <c r="N91" s="13"/>
      <c r="O91" s="38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</row>
    <row r="92" spans="1:43" ht="13.05" customHeight="1" x14ac:dyDescent="0.3">
      <c r="A92" s="13"/>
      <c r="B92" s="34" t="str">
        <f t="shared" si="3"/>
        <v/>
      </c>
      <c r="C92" s="13"/>
      <c r="D92" s="38"/>
      <c r="E92" s="13"/>
      <c r="F92" s="13"/>
      <c r="G92" s="16"/>
      <c r="H92" s="13"/>
      <c r="I92" s="13"/>
      <c r="J92" s="13"/>
      <c r="K92" s="16"/>
      <c r="L92" s="13"/>
      <c r="M92" s="13"/>
      <c r="N92" s="13"/>
      <c r="O92" s="38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</row>
    <row r="93" spans="1:43" ht="13.05" customHeight="1" x14ac:dyDescent="0.3">
      <c r="A93" s="13"/>
      <c r="B93" s="34" t="str">
        <f t="shared" si="3"/>
        <v/>
      </c>
      <c r="C93" s="13"/>
      <c r="D93" s="38"/>
      <c r="E93" s="13"/>
      <c r="F93" s="13"/>
      <c r="G93" s="16"/>
      <c r="H93" s="13"/>
      <c r="I93" s="13"/>
      <c r="J93" s="13"/>
      <c r="K93" s="16"/>
      <c r="L93" s="13"/>
      <c r="M93" s="13"/>
      <c r="N93" s="13"/>
      <c r="O93" s="38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</row>
    <row r="94" spans="1:43" ht="13.05" customHeight="1" x14ac:dyDescent="0.3">
      <c r="A94" s="13"/>
      <c r="B94" s="34" t="str">
        <f t="shared" si="3"/>
        <v/>
      </c>
      <c r="C94" s="13"/>
      <c r="D94" s="38"/>
      <c r="E94" s="13"/>
      <c r="F94" s="13"/>
      <c r="G94" s="16"/>
      <c r="H94" s="13"/>
      <c r="I94" s="13"/>
      <c r="J94" s="13"/>
      <c r="K94" s="16"/>
      <c r="L94" s="13"/>
      <c r="M94" s="13"/>
      <c r="N94" s="13"/>
      <c r="O94" s="38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</row>
    <row r="95" spans="1:43" ht="13.05" customHeight="1" x14ac:dyDescent="0.3">
      <c r="A95" s="13"/>
      <c r="B95" s="34" t="str">
        <f t="shared" si="3"/>
        <v/>
      </c>
      <c r="C95" s="13"/>
      <c r="D95" s="38"/>
      <c r="E95" s="13"/>
      <c r="F95" s="13"/>
      <c r="G95" s="16"/>
      <c r="H95" s="13"/>
      <c r="I95" s="13"/>
      <c r="J95" s="13"/>
      <c r="K95" s="16"/>
      <c r="L95" s="13"/>
      <c r="M95" s="13"/>
      <c r="N95" s="13"/>
      <c r="O95" s="38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</row>
    <row r="96" spans="1:43" ht="13.05" customHeight="1" x14ac:dyDescent="0.3">
      <c r="A96" s="13"/>
      <c r="B96" s="34" t="str">
        <f t="shared" si="3"/>
        <v/>
      </c>
      <c r="C96" s="13"/>
      <c r="D96" s="38"/>
      <c r="E96" s="13"/>
      <c r="F96" s="13"/>
      <c r="G96" s="16"/>
      <c r="H96" s="13"/>
      <c r="I96" s="13"/>
      <c r="J96" s="13"/>
      <c r="K96" s="16"/>
      <c r="L96" s="13"/>
      <c r="M96" s="13"/>
      <c r="N96" s="13"/>
      <c r="O96" s="38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</row>
    <row r="97" spans="1:43" ht="13.05" customHeight="1" x14ac:dyDescent="0.3">
      <c r="A97" s="13"/>
      <c r="B97" s="34" t="str">
        <f t="shared" si="3"/>
        <v/>
      </c>
      <c r="C97" s="13"/>
      <c r="D97" s="38"/>
      <c r="E97" s="13"/>
      <c r="F97" s="13"/>
      <c r="G97" s="16"/>
      <c r="H97" s="13"/>
      <c r="I97" s="13"/>
      <c r="J97" s="13"/>
      <c r="K97" s="16"/>
      <c r="L97" s="13"/>
      <c r="M97" s="13"/>
      <c r="N97" s="13"/>
      <c r="O97" s="38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</row>
    <row r="98" spans="1:43" ht="13.05" customHeight="1" x14ac:dyDescent="0.3">
      <c r="A98" s="13"/>
      <c r="B98" s="34" t="str">
        <f t="shared" si="3"/>
        <v/>
      </c>
      <c r="C98" s="13"/>
      <c r="D98" s="38"/>
      <c r="E98" s="13"/>
      <c r="F98" s="13"/>
      <c r="G98" s="16"/>
      <c r="H98" s="13"/>
      <c r="I98" s="13"/>
      <c r="J98" s="13"/>
      <c r="K98" s="16"/>
      <c r="L98" s="13"/>
      <c r="M98" s="13"/>
      <c r="N98" s="13"/>
      <c r="O98" s="38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</row>
    <row r="99" spans="1:43" ht="13.05" customHeight="1" x14ac:dyDescent="0.3">
      <c r="A99" s="13"/>
      <c r="B99" s="34" t="str">
        <f t="shared" si="3"/>
        <v/>
      </c>
      <c r="C99" s="13"/>
      <c r="D99" s="38"/>
      <c r="E99" s="13"/>
      <c r="F99" s="13"/>
      <c r="G99" s="16"/>
      <c r="H99" s="13"/>
      <c r="I99" s="13"/>
      <c r="J99" s="13"/>
      <c r="K99" s="16"/>
      <c r="L99" s="13"/>
      <c r="M99" s="13"/>
      <c r="N99" s="13"/>
      <c r="O99" s="38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</row>
    <row r="100" spans="1:43" ht="13.05" customHeight="1" x14ac:dyDescent="0.3">
      <c r="A100" s="13"/>
      <c r="B100" s="34" t="str">
        <f t="shared" si="3"/>
        <v/>
      </c>
      <c r="C100" s="13"/>
      <c r="D100" s="38"/>
      <c r="E100" s="13"/>
      <c r="F100" s="13"/>
      <c r="G100" s="16"/>
      <c r="H100" s="13"/>
      <c r="I100" s="13"/>
      <c r="J100" s="13"/>
      <c r="K100" s="16"/>
      <c r="L100" s="13"/>
      <c r="M100" s="13"/>
      <c r="N100" s="13"/>
      <c r="O100" s="38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</row>
    <row r="101" spans="1:43" ht="13.05" customHeight="1" x14ac:dyDescent="0.3">
      <c r="A101" s="13"/>
      <c r="B101" s="34" t="str">
        <f t="shared" si="3"/>
        <v/>
      </c>
      <c r="C101" s="13"/>
      <c r="D101" s="38"/>
      <c r="E101" s="13"/>
      <c r="F101" s="13"/>
      <c r="G101" s="16"/>
      <c r="H101" s="13"/>
      <c r="I101" s="13"/>
      <c r="J101" s="13"/>
      <c r="K101" s="16"/>
      <c r="L101" s="13"/>
      <c r="M101" s="13"/>
      <c r="N101" s="13"/>
      <c r="O101" s="38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</row>
    <row r="102" spans="1:43" ht="13.05" customHeight="1" x14ac:dyDescent="0.3">
      <c r="A102" s="13"/>
      <c r="B102" s="34" t="str">
        <f t="shared" ref="B102:B133" si="4">IF(COUNTA(C102,D102,E102,H102,I102)=0,"","A"&amp;TEXT(ROW()-5,"000"))</f>
        <v/>
      </c>
      <c r="C102" s="13"/>
      <c r="D102" s="38"/>
      <c r="E102" s="13"/>
      <c r="F102" s="13"/>
      <c r="G102" s="16"/>
      <c r="H102" s="13"/>
      <c r="I102" s="13"/>
      <c r="J102" s="13"/>
      <c r="K102" s="16"/>
      <c r="L102" s="13"/>
      <c r="M102" s="13"/>
      <c r="N102" s="13"/>
      <c r="O102" s="38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</row>
    <row r="103" spans="1:43" ht="13.05" customHeight="1" x14ac:dyDescent="0.3">
      <c r="A103" s="13"/>
      <c r="B103" s="34" t="str">
        <f t="shared" si="4"/>
        <v/>
      </c>
      <c r="C103" s="13"/>
      <c r="D103" s="38"/>
      <c r="E103" s="13"/>
      <c r="F103" s="13"/>
      <c r="G103" s="16"/>
      <c r="H103" s="13"/>
      <c r="I103" s="13"/>
      <c r="J103" s="13"/>
      <c r="K103" s="16"/>
      <c r="L103" s="13"/>
      <c r="M103" s="13"/>
      <c r="N103" s="13"/>
      <c r="O103" s="38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</row>
    <row r="104" spans="1:43" ht="13.05" customHeight="1" x14ac:dyDescent="0.3">
      <c r="A104" s="13"/>
      <c r="B104" s="34" t="str">
        <f t="shared" si="4"/>
        <v/>
      </c>
      <c r="C104" s="13"/>
      <c r="D104" s="38"/>
      <c r="E104" s="13"/>
      <c r="F104" s="13"/>
      <c r="G104" s="16"/>
      <c r="H104" s="13"/>
      <c r="I104" s="13"/>
      <c r="J104" s="13"/>
      <c r="K104" s="16"/>
      <c r="L104" s="13"/>
      <c r="M104" s="13"/>
      <c r="N104" s="13"/>
      <c r="O104" s="38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</row>
    <row r="105" spans="1:43" ht="13.05" customHeight="1" x14ac:dyDescent="0.3">
      <c r="A105" s="13"/>
      <c r="B105" s="34" t="str">
        <f t="shared" si="4"/>
        <v/>
      </c>
      <c r="C105" s="13"/>
      <c r="D105" s="38"/>
      <c r="E105" s="13"/>
      <c r="F105" s="13"/>
      <c r="G105" s="16"/>
      <c r="H105" s="13"/>
      <c r="I105" s="13"/>
      <c r="J105" s="13"/>
      <c r="K105" s="16"/>
      <c r="L105" s="13"/>
      <c r="M105" s="13"/>
      <c r="N105" s="13"/>
      <c r="O105" s="38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</row>
    <row r="106" spans="1:43" ht="13.05" customHeight="1" x14ac:dyDescent="0.3">
      <c r="A106" s="13"/>
      <c r="B106" s="34" t="str">
        <f t="shared" si="4"/>
        <v/>
      </c>
      <c r="C106" s="13"/>
      <c r="D106" s="38"/>
      <c r="E106" s="13"/>
      <c r="F106" s="13"/>
      <c r="G106" s="16"/>
      <c r="H106" s="13"/>
      <c r="I106" s="13"/>
      <c r="J106" s="13"/>
      <c r="K106" s="16"/>
      <c r="L106" s="13"/>
      <c r="M106" s="13"/>
      <c r="N106" s="13"/>
      <c r="O106" s="38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</row>
    <row r="107" spans="1:43" ht="13.05" customHeight="1" x14ac:dyDescent="0.3">
      <c r="A107" s="13"/>
      <c r="B107" s="34" t="str">
        <f t="shared" si="4"/>
        <v/>
      </c>
      <c r="C107" s="13"/>
      <c r="D107" s="38"/>
      <c r="E107" s="13"/>
      <c r="F107" s="13"/>
      <c r="G107" s="16"/>
      <c r="H107" s="13"/>
      <c r="I107" s="13"/>
      <c r="J107" s="13"/>
      <c r="K107" s="16"/>
      <c r="L107" s="13"/>
      <c r="M107" s="13"/>
      <c r="N107" s="13"/>
      <c r="O107" s="38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</row>
    <row r="108" spans="1:43" ht="13.05" customHeight="1" x14ac:dyDescent="0.3">
      <c r="A108" s="13"/>
      <c r="B108" s="34" t="str">
        <f t="shared" si="4"/>
        <v/>
      </c>
      <c r="C108" s="13"/>
      <c r="D108" s="38"/>
      <c r="E108" s="13"/>
      <c r="F108" s="13"/>
      <c r="G108" s="16"/>
      <c r="H108" s="13"/>
      <c r="I108" s="13"/>
      <c r="J108" s="13"/>
      <c r="K108" s="16"/>
      <c r="L108" s="13"/>
      <c r="M108" s="13"/>
      <c r="N108" s="13"/>
      <c r="O108" s="38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</row>
    <row r="109" spans="1:43" ht="13.05" customHeight="1" x14ac:dyDescent="0.3">
      <c r="A109" s="13"/>
      <c r="B109" s="34" t="str">
        <f t="shared" si="4"/>
        <v/>
      </c>
      <c r="C109" s="13"/>
      <c r="D109" s="38"/>
      <c r="E109" s="13"/>
      <c r="F109" s="13"/>
      <c r="G109" s="16"/>
      <c r="H109" s="13"/>
      <c r="I109" s="13"/>
      <c r="J109" s="13"/>
      <c r="K109" s="16"/>
      <c r="L109" s="13"/>
      <c r="M109" s="13"/>
      <c r="N109" s="13"/>
      <c r="O109" s="38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</row>
    <row r="110" spans="1:43" ht="13.05" customHeight="1" x14ac:dyDescent="0.3">
      <c r="A110" s="13"/>
      <c r="B110" s="34" t="str">
        <f t="shared" si="4"/>
        <v/>
      </c>
      <c r="C110" s="13"/>
      <c r="D110" s="38"/>
      <c r="E110" s="13"/>
      <c r="F110" s="13"/>
      <c r="G110" s="16"/>
      <c r="H110" s="13"/>
      <c r="I110" s="13"/>
      <c r="J110" s="13"/>
      <c r="K110" s="16"/>
      <c r="L110" s="13"/>
      <c r="M110" s="13"/>
      <c r="N110" s="13"/>
      <c r="O110" s="38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</row>
    <row r="111" spans="1:43" ht="13.05" customHeight="1" x14ac:dyDescent="0.3">
      <c r="A111" s="13"/>
      <c r="B111" s="34" t="str">
        <f t="shared" si="4"/>
        <v/>
      </c>
      <c r="C111" s="13"/>
      <c r="D111" s="38"/>
      <c r="E111" s="13"/>
      <c r="F111" s="13"/>
      <c r="G111" s="16"/>
      <c r="H111" s="13"/>
      <c r="I111" s="13"/>
      <c r="J111" s="13"/>
      <c r="K111" s="16"/>
      <c r="L111" s="13"/>
      <c r="M111" s="13"/>
      <c r="N111" s="13"/>
      <c r="O111" s="38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</row>
    <row r="112" spans="1:43" ht="13.05" customHeight="1" x14ac:dyDescent="0.3">
      <c r="A112" s="13"/>
      <c r="B112" s="34" t="str">
        <f t="shared" si="4"/>
        <v/>
      </c>
      <c r="C112" s="13"/>
      <c r="D112" s="38"/>
      <c r="E112" s="13"/>
      <c r="F112" s="13"/>
      <c r="G112" s="16"/>
      <c r="H112" s="13"/>
      <c r="I112" s="13"/>
      <c r="J112" s="13"/>
      <c r="K112" s="16"/>
      <c r="L112" s="13"/>
      <c r="M112" s="13"/>
      <c r="N112" s="13"/>
      <c r="O112" s="38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</row>
    <row r="113" spans="1:43" ht="13.05" customHeight="1" x14ac:dyDescent="0.3">
      <c r="A113" s="13"/>
      <c r="B113" s="34" t="str">
        <f t="shared" si="4"/>
        <v/>
      </c>
      <c r="C113" s="13"/>
      <c r="D113" s="38"/>
      <c r="E113" s="13"/>
      <c r="F113" s="13"/>
      <c r="G113" s="16"/>
      <c r="H113" s="13"/>
      <c r="I113" s="13"/>
      <c r="J113" s="13"/>
      <c r="K113" s="16"/>
      <c r="L113" s="13"/>
      <c r="M113" s="13"/>
      <c r="N113" s="13"/>
      <c r="O113" s="38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</row>
    <row r="114" spans="1:43" ht="13.05" customHeight="1" x14ac:dyDescent="0.3">
      <c r="A114" s="13"/>
      <c r="B114" s="34" t="str">
        <f t="shared" si="4"/>
        <v/>
      </c>
      <c r="C114" s="13"/>
      <c r="D114" s="38"/>
      <c r="E114" s="13"/>
      <c r="F114" s="13"/>
      <c r="G114" s="16"/>
      <c r="H114" s="13"/>
      <c r="I114" s="13"/>
      <c r="J114" s="13"/>
      <c r="K114" s="16"/>
      <c r="L114" s="13"/>
      <c r="M114" s="13"/>
      <c r="N114" s="13"/>
      <c r="O114" s="38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</row>
    <row r="115" spans="1:43" ht="13.05" customHeight="1" x14ac:dyDescent="0.3">
      <c r="A115" s="13"/>
      <c r="B115" s="34" t="str">
        <f t="shared" si="4"/>
        <v/>
      </c>
      <c r="C115" s="13"/>
      <c r="D115" s="38"/>
      <c r="E115" s="13"/>
      <c r="F115" s="13"/>
      <c r="G115" s="16"/>
      <c r="H115" s="13"/>
      <c r="I115" s="13"/>
      <c r="J115" s="13"/>
      <c r="K115" s="16"/>
      <c r="L115" s="13"/>
      <c r="M115" s="13"/>
      <c r="N115" s="13"/>
      <c r="O115" s="38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</row>
    <row r="116" spans="1:43" ht="13.05" customHeight="1" x14ac:dyDescent="0.3">
      <c r="A116" s="13"/>
      <c r="B116" s="34" t="str">
        <f t="shared" si="4"/>
        <v/>
      </c>
      <c r="C116" s="13"/>
      <c r="D116" s="38"/>
      <c r="E116" s="13"/>
      <c r="F116" s="13"/>
      <c r="G116" s="16"/>
      <c r="H116" s="13"/>
      <c r="I116" s="13"/>
      <c r="J116" s="13"/>
      <c r="K116" s="16"/>
      <c r="L116" s="13"/>
      <c r="M116" s="13"/>
      <c r="N116" s="13"/>
      <c r="O116" s="38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</row>
    <row r="117" spans="1:43" ht="13.05" customHeight="1" x14ac:dyDescent="0.3">
      <c r="A117" s="13"/>
      <c r="B117" s="34" t="str">
        <f t="shared" si="4"/>
        <v/>
      </c>
      <c r="C117" s="13"/>
      <c r="D117" s="38"/>
      <c r="E117" s="13"/>
      <c r="F117" s="13"/>
      <c r="G117" s="16"/>
      <c r="H117" s="13"/>
      <c r="I117" s="13"/>
      <c r="J117" s="13"/>
      <c r="K117" s="16"/>
      <c r="L117" s="13"/>
      <c r="M117" s="13"/>
      <c r="N117" s="13"/>
      <c r="O117" s="38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</row>
    <row r="118" spans="1:43" ht="13.05" customHeight="1" x14ac:dyDescent="0.3">
      <c r="A118" s="13"/>
      <c r="B118" s="34" t="str">
        <f t="shared" si="4"/>
        <v/>
      </c>
      <c r="C118" s="13"/>
      <c r="D118" s="38"/>
      <c r="E118" s="13"/>
      <c r="F118" s="13"/>
      <c r="G118" s="16"/>
      <c r="H118" s="13"/>
      <c r="I118" s="13"/>
      <c r="J118" s="13"/>
      <c r="K118" s="16"/>
      <c r="L118" s="13"/>
      <c r="M118" s="13"/>
      <c r="N118" s="13"/>
      <c r="O118" s="38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</row>
    <row r="119" spans="1:43" ht="13.05" customHeight="1" x14ac:dyDescent="0.3">
      <c r="A119" s="13"/>
      <c r="B119" s="34" t="str">
        <f t="shared" si="4"/>
        <v/>
      </c>
      <c r="C119" s="13"/>
      <c r="D119" s="38"/>
      <c r="E119" s="13"/>
      <c r="F119" s="13"/>
      <c r="G119" s="16"/>
      <c r="H119" s="13"/>
      <c r="I119" s="13"/>
      <c r="J119" s="13"/>
      <c r="K119" s="16"/>
      <c r="L119" s="13"/>
      <c r="M119" s="13"/>
      <c r="N119" s="13"/>
      <c r="O119" s="38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</row>
    <row r="120" spans="1:43" ht="13.05" customHeight="1" x14ac:dyDescent="0.3">
      <c r="A120" s="13"/>
      <c r="B120" s="34" t="str">
        <f t="shared" si="4"/>
        <v/>
      </c>
      <c r="C120" s="13"/>
      <c r="D120" s="38"/>
      <c r="E120" s="13"/>
      <c r="F120" s="13"/>
      <c r="G120" s="16"/>
      <c r="H120" s="13"/>
      <c r="I120" s="13"/>
      <c r="J120" s="13"/>
      <c r="K120" s="16"/>
      <c r="L120" s="13"/>
      <c r="M120" s="13"/>
      <c r="N120" s="13"/>
      <c r="O120" s="38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</row>
    <row r="121" spans="1:43" ht="13.05" customHeight="1" x14ac:dyDescent="0.3">
      <c r="A121" s="13"/>
      <c r="B121" s="34" t="str">
        <f t="shared" si="4"/>
        <v/>
      </c>
      <c r="C121" s="13"/>
      <c r="D121" s="38"/>
      <c r="E121" s="13"/>
      <c r="F121" s="13"/>
      <c r="G121" s="16"/>
      <c r="H121" s="13"/>
      <c r="I121" s="13"/>
      <c r="J121" s="13"/>
      <c r="K121" s="16"/>
      <c r="L121" s="13"/>
      <c r="M121" s="13"/>
      <c r="N121" s="13"/>
      <c r="O121" s="38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</row>
    <row r="122" spans="1:43" ht="13.05" customHeight="1" x14ac:dyDescent="0.3">
      <c r="A122" s="13"/>
      <c r="B122" s="34" t="str">
        <f t="shared" si="4"/>
        <v/>
      </c>
      <c r="C122" s="13"/>
      <c r="D122" s="38"/>
      <c r="E122" s="13"/>
      <c r="F122" s="13"/>
      <c r="G122" s="16"/>
      <c r="H122" s="13"/>
      <c r="I122" s="13"/>
      <c r="J122" s="13"/>
      <c r="K122" s="16"/>
      <c r="L122" s="13"/>
      <c r="M122" s="13"/>
      <c r="N122" s="13"/>
      <c r="O122" s="38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</row>
    <row r="123" spans="1:43" ht="13.05" customHeight="1" x14ac:dyDescent="0.3">
      <c r="A123" s="13"/>
      <c r="B123" s="34" t="str">
        <f t="shared" si="4"/>
        <v/>
      </c>
      <c r="C123" s="13"/>
      <c r="D123" s="38"/>
      <c r="E123" s="13"/>
      <c r="F123" s="13"/>
      <c r="G123" s="16"/>
      <c r="H123" s="13"/>
      <c r="I123" s="13"/>
      <c r="J123" s="13"/>
      <c r="K123" s="16"/>
      <c r="L123" s="13"/>
      <c r="M123" s="13"/>
      <c r="N123" s="13"/>
      <c r="O123" s="38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</row>
    <row r="124" spans="1:43" ht="13.05" customHeight="1" x14ac:dyDescent="0.3">
      <c r="A124" s="13"/>
      <c r="B124" s="34" t="str">
        <f t="shared" si="4"/>
        <v/>
      </c>
      <c r="C124" s="13"/>
      <c r="D124" s="38"/>
      <c r="E124" s="13"/>
      <c r="F124" s="13"/>
      <c r="G124" s="16"/>
      <c r="H124" s="13"/>
      <c r="I124" s="13"/>
      <c r="J124" s="13"/>
      <c r="K124" s="16"/>
      <c r="L124" s="13"/>
      <c r="M124" s="13"/>
      <c r="N124" s="13"/>
      <c r="O124" s="38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</row>
    <row r="125" spans="1:43" ht="13.05" customHeight="1" x14ac:dyDescent="0.3">
      <c r="A125" s="13"/>
      <c r="B125" s="34" t="str">
        <f t="shared" si="4"/>
        <v/>
      </c>
      <c r="C125" s="13"/>
      <c r="D125" s="38"/>
      <c r="E125" s="13"/>
      <c r="F125" s="13"/>
      <c r="G125" s="16"/>
      <c r="H125" s="13"/>
      <c r="I125" s="13"/>
      <c r="J125" s="13"/>
      <c r="K125" s="16"/>
      <c r="L125" s="13"/>
      <c r="M125" s="13"/>
      <c r="N125" s="13"/>
      <c r="O125" s="38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</row>
    <row r="126" spans="1:43" ht="13.05" customHeight="1" x14ac:dyDescent="0.3">
      <c r="A126" s="13"/>
      <c r="B126" s="34" t="str">
        <f t="shared" si="4"/>
        <v/>
      </c>
      <c r="C126" s="13"/>
      <c r="D126" s="38"/>
      <c r="E126" s="13"/>
      <c r="F126" s="13"/>
      <c r="G126" s="16"/>
      <c r="H126" s="13"/>
      <c r="I126" s="13"/>
      <c r="J126" s="13"/>
      <c r="K126" s="16"/>
      <c r="L126" s="13"/>
      <c r="M126" s="13"/>
      <c r="N126" s="13"/>
      <c r="O126" s="38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</row>
    <row r="127" spans="1:43" ht="13.05" customHeight="1" x14ac:dyDescent="0.3">
      <c r="A127" s="13"/>
      <c r="B127" s="34" t="str">
        <f t="shared" si="4"/>
        <v/>
      </c>
      <c r="C127" s="13"/>
      <c r="D127" s="38"/>
      <c r="E127" s="13"/>
      <c r="F127" s="13"/>
      <c r="G127" s="16"/>
      <c r="H127" s="13"/>
      <c r="I127" s="13"/>
      <c r="J127" s="13"/>
      <c r="K127" s="16"/>
      <c r="L127" s="13"/>
      <c r="M127" s="13"/>
      <c r="N127" s="13"/>
      <c r="O127" s="38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</row>
    <row r="128" spans="1:43" ht="13.05" customHeight="1" x14ac:dyDescent="0.3">
      <c r="A128" s="13"/>
      <c r="B128" s="34" t="str">
        <f t="shared" si="4"/>
        <v/>
      </c>
      <c r="C128" s="13"/>
      <c r="D128" s="38"/>
      <c r="E128" s="13"/>
      <c r="F128" s="13"/>
      <c r="G128" s="16"/>
      <c r="H128" s="13"/>
      <c r="I128" s="13"/>
      <c r="J128" s="13"/>
      <c r="K128" s="16"/>
      <c r="L128" s="13"/>
      <c r="M128" s="13"/>
      <c r="N128" s="13"/>
      <c r="O128" s="38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</row>
    <row r="129" spans="1:43" ht="13.05" customHeight="1" x14ac:dyDescent="0.3">
      <c r="A129" s="13"/>
      <c r="B129" s="34" t="str">
        <f t="shared" si="4"/>
        <v/>
      </c>
      <c r="C129" s="13"/>
      <c r="D129" s="38"/>
      <c r="E129" s="13"/>
      <c r="F129" s="13"/>
      <c r="G129" s="16"/>
      <c r="H129" s="13"/>
      <c r="I129" s="13"/>
      <c r="J129" s="13"/>
      <c r="K129" s="16"/>
      <c r="L129" s="13"/>
      <c r="M129" s="13"/>
      <c r="N129" s="13"/>
      <c r="O129" s="38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</row>
    <row r="130" spans="1:43" ht="13.05" customHeight="1" x14ac:dyDescent="0.3">
      <c r="A130" s="13"/>
      <c r="B130" s="34" t="str">
        <f t="shared" si="4"/>
        <v/>
      </c>
      <c r="C130" s="13"/>
      <c r="D130" s="38"/>
      <c r="E130" s="13"/>
      <c r="F130" s="13"/>
      <c r="G130" s="16"/>
      <c r="H130" s="13"/>
      <c r="I130" s="13"/>
      <c r="J130" s="13"/>
      <c r="K130" s="16"/>
      <c r="L130" s="13"/>
      <c r="M130" s="13"/>
      <c r="N130" s="13"/>
      <c r="O130" s="38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</row>
    <row r="131" spans="1:43" ht="13.05" customHeight="1" x14ac:dyDescent="0.3">
      <c r="A131" s="13"/>
      <c r="B131" s="34" t="str">
        <f t="shared" si="4"/>
        <v/>
      </c>
      <c r="C131" s="13"/>
      <c r="D131" s="38"/>
      <c r="E131" s="13"/>
      <c r="F131" s="13"/>
      <c r="G131" s="16"/>
      <c r="H131" s="13"/>
      <c r="I131" s="13"/>
      <c r="J131" s="13"/>
      <c r="K131" s="16"/>
      <c r="L131" s="13"/>
      <c r="M131" s="13"/>
      <c r="N131" s="13"/>
      <c r="O131" s="38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</row>
    <row r="132" spans="1:43" ht="13.05" customHeight="1" x14ac:dyDescent="0.3">
      <c r="A132" s="13"/>
      <c r="B132" s="34" t="str">
        <f t="shared" si="4"/>
        <v/>
      </c>
      <c r="C132" s="13"/>
      <c r="D132" s="38"/>
      <c r="E132" s="13"/>
      <c r="F132" s="13"/>
      <c r="G132" s="16"/>
      <c r="H132" s="13"/>
      <c r="I132" s="13"/>
      <c r="J132" s="13"/>
      <c r="K132" s="16"/>
      <c r="L132" s="13"/>
      <c r="M132" s="13"/>
      <c r="N132" s="13"/>
      <c r="O132" s="38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</row>
    <row r="133" spans="1:43" ht="13.05" customHeight="1" x14ac:dyDescent="0.3">
      <c r="A133" s="13"/>
      <c r="B133" s="34" t="str">
        <f t="shared" si="4"/>
        <v/>
      </c>
      <c r="C133" s="13"/>
      <c r="D133" s="38"/>
      <c r="E133" s="13"/>
      <c r="F133" s="13"/>
      <c r="G133" s="16"/>
      <c r="H133" s="13"/>
      <c r="I133" s="13"/>
      <c r="J133" s="13"/>
      <c r="K133" s="16"/>
      <c r="L133" s="13"/>
      <c r="M133" s="13"/>
      <c r="N133" s="13"/>
      <c r="O133" s="38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</row>
    <row r="134" spans="1:43" ht="13.05" customHeight="1" x14ac:dyDescent="0.3">
      <c r="A134" s="13"/>
      <c r="B134" s="34" t="str">
        <f t="shared" ref="B134:B155" si="5">IF(COUNTA(C134,D134,E134,H134,I134)=0,"","A"&amp;TEXT(ROW()-5,"000"))</f>
        <v/>
      </c>
      <c r="C134" s="13"/>
      <c r="D134" s="38"/>
      <c r="E134" s="13"/>
      <c r="F134" s="13"/>
      <c r="G134" s="16"/>
      <c r="H134" s="13"/>
      <c r="I134" s="13"/>
      <c r="J134" s="13"/>
      <c r="K134" s="16"/>
      <c r="L134" s="13"/>
      <c r="M134" s="13"/>
      <c r="N134" s="13"/>
      <c r="O134" s="38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</row>
    <row r="135" spans="1:43" ht="13.05" customHeight="1" x14ac:dyDescent="0.3">
      <c r="A135" s="13"/>
      <c r="B135" s="34" t="str">
        <f t="shared" si="5"/>
        <v/>
      </c>
      <c r="C135" s="13"/>
      <c r="D135" s="38"/>
      <c r="E135" s="13"/>
      <c r="F135" s="13"/>
      <c r="G135" s="16"/>
      <c r="H135" s="13"/>
      <c r="I135" s="13"/>
      <c r="J135" s="13"/>
      <c r="K135" s="16"/>
      <c r="L135" s="13"/>
      <c r="M135" s="13"/>
      <c r="N135" s="13"/>
      <c r="O135" s="38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</row>
    <row r="136" spans="1:43" ht="13.05" customHeight="1" x14ac:dyDescent="0.3">
      <c r="A136" s="13"/>
      <c r="B136" s="34" t="str">
        <f t="shared" si="5"/>
        <v/>
      </c>
      <c r="C136" s="13"/>
      <c r="D136" s="38"/>
      <c r="E136" s="13"/>
      <c r="F136" s="13"/>
      <c r="G136" s="16"/>
      <c r="H136" s="13"/>
      <c r="I136" s="13"/>
      <c r="J136" s="13"/>
      <c r="K136" s="16"/>
      <c r="L136" s="13"/>
      <c r="M136" s="13"/>
      <c r="N136" s="13"/>
      <c r="O136" s="38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</row>
    <row r="137" spans="1:43" ht="13.05" customHeight="1" x14ac:dyDescent="0.3">
      <c r="A137" s="13"/>
      <c r="B137" s="34" t="str">
        <f t="shared" si="5"/>
        <v/>
      </c>
      <c r="C137" s="13"/>
      <c r="D137" s="38"/>
      <c r="E137" s="13"/>
      <c r="F137" s="13"/>
      <c r="G137" s="16"/>
      <c r="H137" s="13"/>
      <c r="I137" s="13"/>
      <c r="J137" s="13"/>
      <c r="K137" s="16"/>
      <c r="L137" s="13"/>
      <c r="M137" s="13"/>
      <c r="N137" s="13"/>
      <c r="O137" s="38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</row>
    <row r="138" spans="1:43" ht="13.05" customHeight="1" x14ac:dyDescent="0.3">
      <c r="A138" s="13"/>
      <c r="B138" s="34" t="str">
        <f t="shared" si="5"/>
        <v/>
      </c>
      <c r="C138" s="13"/>
      <c r="D138" s="38"/>
      <c r="E138" s="13"/>
      <c r="F138" s="13"/>
      <c r="G138" s="16"/>
      <c r="H138" s="13"/>
      <c r="I138" s="13"/>
      <c r="J138" s="13"/>
      <c r="K138" s="16"/>
      <c r="L138" s="13"/>
      <c r="M138" s="13"/>
      <c r="N138" s="13"/>
      <c r="O138" s="38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</row>
    <row r="139" spans="1:43" ht="13.05" customHeight="1" x14ac:dyDescent="0.3">
      <c r="A139" s="13"/>
      <c r="B139" s="34" t="str">
        <f t="shared" si="5"/>
        <v/>
      </c>
      <c r="C139" s="13"/>
      <c r="D139" s="38"/>
      <c r="E139" s="13"/>
      <c r="F139" s="13"/>
      <c r="G139" s="16"/>
      <c r="H139" s="13"/>
      <c r="I139" s="13"/>
      <c r="J139" s="13"/>
      <c r="K139" s="16"/>
      <c r="L139" s="13"/>
      <c r="M139" s="13"/>
      <c r="N139" s="13"/>
      <c r="O139" s="38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</row>
    <row r="140" spans="1:43" ht="13.05" customHeight="1" x14ac:dyDescent="0.3">
      <c r="A140" s="13"/>
      <c r="B140" s="34" t="str">
        <f t="shared" si="5"/>
        <v/>
      </c>
      <c r="C140" s="13"/>
      <c r="D140" s="38"/>
      <c r="E140" s="13"/>
      <c r="F140" s="13"/>
      <c r="G140" s="16"/>
      <c r="H140" s="13"/>
      <c r="I140" s="13"/>
      <c r="J140" s="13"/>
      <c r="K140" s="16"/>
      <c r="L140" s="13"/>
      <c r="M140" s="13"/>
      <c r="N140" s="13"/>
      <c r="O140" s="38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</row>
    <row r="141" spans="1:43" ht="13.05" customHeight="1" x14ac:dyDescent="0.3">
      <c r="A141" s="13"/>
      <c r="B141" s="34" t="str">
        <f t="shared" si="5"/>
        <v/>
      </c>
      <c r="C141" s="13"/>
      <c r="D141" s="38"/>
      <c r="E141" s="13"/>
      <c r="F141" s="13"/>
      <c r="G141" s="16"/>
      <c r="H141" s="13"/>
      <c r="I141" s="13"/>
      <c r="J141" s="13"/>
      <c r="K141" s="16"/>
      <c r="L141" s="13"/>
      <c r="M141" s="13"/>
      <c r="N141" s="13"/>
      <c r="O141" s="38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</row>
    <row r="142" spans="1:43" ht="13.05" customHeight="1" x14ac:dyDescent="0.3">
      <c r="A142" s="13"/>
      <c r="B142" s="34" t="str">
        <f t="shared" si="5"/>
        <v/>
      </c>
      <c r="C142" s="13"/>
      <c r="D142" s="38"/>
      <c r="E142" s="13"/>
      <c r="F142" s="13"/>
      <c r="G142" s="16"/>
      <c r="H142" s="13"/>
      <c r="I142" s="13"/>
      <c r="J142" s="13"/>
      <c r="K142" s="16"/>
      <c r="L142" s="13"/>
      <c r="M142" s="13"/>
      <c r="N142" s="13"/>
      <c r="O142" s="38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</row>
    <row r="143" spans="1:43" ht="13.05" customHeight="1" x14ac:dyDescent="0.3">
      <c r="A143" s="13"/>
      <c r="B143" s="34" t="str">
        <f t="shared" si="5"/>
        <v/>
      </c>
      <c r="C143" s="13"/>
      <c r="D143" s="38"/>
      <c r="E143" s="13"/>
      <c r="F143" s="13"/>
      <c r="G143" s="16"/>
      <c r="H143" s="13"/>
      <c r="I143" s="13"/>
      <c r="J143" s="13"/>
      <c r="K143" s="16"/>
      <c r="L143" s="13"/>
      <c r="M143" s="13"/>
      <c r="N143" s="13"/>
      <c r="O143" s="38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</row>
    <row r="144" spans="1:43" ht="13.05" customHeight="1" x14ac:dyDescent="0.3">
      <c r="A144" s="13"/>
      <c r="B144" s="34" t="str">
        <f t="shared" si="5"/>
        <v/>
      </c>
      <c r="C144" s="13"/>
      <c r="D144" s="38"/>
      <c r="E144" s="13"/>
      <c r="F144" s="13"/>
      <c r="G144" s="16"/>
      <c r="H144" s="13"/>
      <c r="I144" s="13"/>
      <c r="J144" s="13"/>
      <c r="K144" s="16"/>
      <c r="L144" s="13"/>
      <c r="M144" s="13"/>
      <c r="N144" s="13"/>
      <c r="O144" s="38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</row>
    <row r="145" spans="1:43" ht="13.05" customHeight="1" x14ac:dyDescent="0.3">
      <c r="A145" s="13"/>
      <c r="B145" s="34" t="str">
        <f t="shared" si="5"/>
        <v/>
      </c>
      <c r="C145" s="13"/>
      <c r="D145" s="38"/>
      <c r="E145" s="13"/>
      <c r="F145" s="13"/>
      <c r="G145" s="16"/>
      <c r="H145" s="13"/>
      <c r="I145" s="13"/>
      <c r="J145" s="13"/>
      <c r="K145" s="16"/>
      <c r="L145" s="13"/>
      <c r="M145" s="13"/>
      <c r="N145" s="13"/>
      <c r="O145" s="38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</row>
    <row r="146" spans="1:43" ht="13.05" customHeight="1" x14ac:dyDescent="0.3">
      <c r="A146" s="13"/>
      <c r="B146" s="34" t="str">
        <f t="shared" si="5"/>
        <v/>
      </c>
      <c r="C146" s="13"/>
      <c r="D146" s="38"/>
      <c r="E146" s="13"/>
      <c r="F146" s="13"/>
      <c r="G146" s="16"/>
      <c r="H146" s="13"/>
      <c r="I146" s="13"/>
      <c r="J146" s="13"/>
      <c r="K146" s="16"/>
      <c r="L146" s="13"/>
      <c r="M146" s="13"/>
      <c r="N146" s="13"/>
      <c r="O146" s="38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</row>
    <row r="147" spans="1:43" ht="13.05" customHeight="1" x14ac:dyDescent="0.3">
      <c r="A147" s="13"/>
      <c r="B147" s="34" t="str">
        <f t="shared" si="5"/>
        <v/>
      </c>
      <c r="C147" s="13"/>
      <c r="D147" s="38"/>
      <c r="E147" s="13"/>
      <c r="F147" s="13"/>
      <c r="G147" s="16"/>
      <c r="H147" s="13"/>
      <c r="I147" s="13"/>
      <c r="J147" s="13"/>
      <c r="K147" s="16"/>
      <c r="L147" s="13"/>
      <c r="M147" s="13"/>
      <c r="N147" s="13"/>
      <c r="O147" s="38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</row>
    <row r="148" spans="1:43" ht="13.05" customHeight="1" x14ac:dyDescent="0.3">
      <c r="A148" s="13"/>
      <c r="B148" s="34" t="str">
        <f t="shared" si="5"/>
        <v/>
      </c>
      <c r="C148" s="13"/>
      <c r="D148" s="38"/>
      <c r="E148" s="13"/>
      <c r="F148" s="13"/>
      <c r="G148" s="16"/>
      <c r="H148" s="13"/>
      <c r="I148" s="13"/>
      <c r="J148" s="13"/>
      <c r="K148" s="16"/>
      <c r="L148" s="13"/>
      <c r="M148" s="13"/>
      <c r="N148" s="13"/>
      <c r="O148" s="38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</row>
    <row r="149" spans="1:43" ht="13.05" customHeight="1" x14ac:dyDescent="0.3">
      <c r="A149" s="13"/>
      <c r="B149" s="34" t="str">
        <f t="shared" si="5"/>
        <v/>
      </c>
      <c r="C149" s="13"/>
      <c r="D149" s="38"/>
      <c r="E149" s="13"/>
      <c r="F149" s="13"/>
      <c r="G149" s="16"/>
      <c r="H149" s="13"/>
      <c r="I149" s="13"/>
      <c r="J149" s="13"/>
      <c r="K149" s="16"/>
      <c r="L149" s="13"/>
      <c r="M149" s="13"/>
      <c r="N149" s="13"/>
      <c r="O149" s="38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</row>
    <row r="150" spans="1:43" ht="13.05" customHeight="1" x14ac:dyDescent="0.3">
      <c r="A150" s="13"/>
      <c r="B150" s="34" t="str">
        <f t="shared" si="5"/>
        <v/>
      </c>
      <c r="C150" s="13"/>
      <c r="D150" s="38"/>
      <c r="E150" s="13"/>
      <c r="F150" s="13"/>
      <c r="G150" s="16"/>
      <c r="H150" s="13"/>
      <c r="I150" s="13"/>
      <c r="J150" s="13"/>
      <c r="K150" s="16"/>
      <c r="L150" s="13"/>
      <c r="M150" s="13"/>
      <c r="N150" s="13"/>
      <c r="O150" s="38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</row>
    <row r="151" spans="1:43" ht="13.05" customHeight="1" x14ac:dyDescent="0.3">
      <c r="A151" s="13"/>
      <c r="B151" s="34" t="str">
        <f t="shared" si="5"/>
        <v/>
      </c>
      <c r="C151" s="13"/>
      <c r="D151" s="38"/>
      <c r="E151" s="13"/>
      <c r="F151" s="13"/>
      <c r="G151" s="16"/>
      <c r="H151" s="13"/>
      <c r="I151" s="13"/>
      <c r="J151" s="13"/>
      <c r="K151" s="16"/>
      <c r="L151" s="13"/>
      <c r="M151" s="13"/>
      <c r="N151" s="13"/>
      <c r="O151" s="38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</row>
    <row r="152" spans="1:43" ht="13.05" customHeight="1" x14ac:dyDescent="0.3">
      <c r="A152" s="13"/>
      <c r="B152" s="34" t="str">
        <f t="shared" si="5"/>
        <v/>
      </c>
      <c r="C152" s="13"/>
      <c r="D152" s="38"/>
      <c r="E152" s="13"/>
      <c r="F152" s="13"/>
      <c r="G152" s="16"/>
      <c r="H152" s="13"/>
      <c r="I152" s="13"/>
      <c r="J152" s="13"/>
      <c r="K152" s="16"/>
      <c r="L152" s="13"/>
      <c r="M152" s="13"/>
      <c r="N152" s="13"/>
      <c r="O152" s="38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</row>
    <row r="153" spans="1:43" ht="13.05" customHeight="1" x14ac:dyDescent="0.3">
      <c r="A153" s="13"/>
      <c r="B153" s="34" t="str">
        <f t="shared" si="5"/>
        <v/>
      </c>
      <c r="C153" s="13"/>
      <c r="D153" s="38"/>
      <c r="E153" s="13"/>
      <c r="F153" s="13"/>
      <c r="G153" s="16"/>
      <c r="H153" s="13"/>
      <c r="I153" s="13"/>
      <c r="J153" s="13"/>
      <c r="K153" s="16"/>
      <c r="L153" s="13"/>
      <c r="M153" s="13"/>
      <c r="N153" s="13"/>
      <c r="O153" s="38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</row>
    <row r="154" spans="1:43" ht="13.05" customHeight="1" x14ac:dyDescent="0.3">
      <c r="A154" s="13"/>
      <c r="B154" s="34" t="str">
        <f t="shared" si="5"/>
        <v/>
      </c>
      <c r="C154" s="13"/>
      <c r="D154" s="38"/>
      <c r="E154" s="13"/>
      <c r="F154" s="13"/>
      <c r="G154" s="16"/>
      <c r="H154" s="13"/>
      <c r="I154" s="13"/>
      <c r="J154" s="13"/>
      <c r="K154" s="16"/>
      <c r="L154" s="13"/>
      <c r="M154" s="13"/>
      <c r="N154" s="13"/>
      <c r="O154" s="38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</row>
    <row r="155" spans="1:43" ht="13.05" customHeight="1" x14ac:dyDescent="0.3">
      <c r="A155" s="13"/>
      <c r="B155" s="34" t="str">
        <f t="shared" si="5"/>
        <v/>
      </c>
      <c r="C155" s="13"/>
      <c r="D155" s="38"/>
      <c r="E155" s="13"/>
      <c r="F155" s="13"/>
      <c r="G155" s="16"/>
      <c r="H155" s="13"/>
      <c r="I155" s="13"/>
      <c r="J155" s="13"/>
      <c r="K155" s="16"/>
      <c r="L155" s="13"/>
      <c r="M155" s="13"/>
      <c r="N155" s="13"/>
      <c r="O155" s="38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</row>
    <row r="156" spans="1:43" ht="13.05" customHeight="1" x14ac:dyDescent="0.3">
      <c r="A156" s="13"/>
      <c r="B156" s="13"/>
      <c r="C156" s="13"/>
      <c r="D156" s="38"/>
      <c r="E156" s="13"/>
      <c r="F156" s="13"/>
      <c r="G156" s="16"/>
      <c r="H156" s="13"/>
      <c r="I156" s="13"/>
      <c r="J156" s="13"/>
      <c r="K156" s="16"/>
      <c r="L156" s="13"/>
      <c r="M156" s="13"/>
      <c r="N156" s="13"/>
      <c r="O156" s="38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</row>
    <row r="157" spans="1:43" ht="13.05" customHeight="1" x14ac:dyDescent="0.3">
      <c r="A157" s="13"/>
      <c r="B157" s="13"/>
      <c r="C157" s="13"/>
      <c r="D157" s="38"/>
      <c r="E157" s="13"/>
      <c r="F157" s="13"/>
      <c r="G157" s="16"/>
      <c r="H157" s="13"/>
      <c r="I157" s="13"/>
      <c r="J157" s="13"/>
      <c r="K157" s="16"/>
      <c r="L157" s="13"/>
      <c r="M157" s="13"/>
      <c r="N157" s="13"/>
      <c r="O157" s="38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</row>
    <row r="158" spans="1:43" ht="13.05" customHeight="1" x14ac:dyDescent="0.3">
      <c r="A158" s="13"/>
      <c r="B158" s="13"/>
      <c r="C158" s="13"/>
      <c r="D158" s="38"/>
      <c r="E158" s="13"/>
      <c r="F158" s="13"/>
      <c r="G158" s="16"/>
      <c r="H158" s="13"/>
      <c r="I158" s="13"/>
      <c r="J158" s="13"/>
      <c r="K158" s="16"/>
      <c r="L158" s="13"/>
      <c r="M158" s="13"/>
      <c r="N158" s="13"/>
      <c r="O158" s="38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</row>
    <row r="159" spans="1:43" ht="13.05" customHeight="1" x14ac:dyDescent="0.3">
      <c r="A159" s="13"/>
      <c r="B159" s="13"/>
      <c r="C159" s="13"/>
      <c r="D159" s="38"/>
      <c r="E159" s="13"/>
      <c r="F159" s="13"/>
      <c r="G159" s="16"/>
      <c r="H159" s="13"/>
      <c r="I159" s="13"/>
      <c r="J159" s="13"/>
      <c r="K159" s="16"/>
      <c r="L159" s="13"/>
      <c r="M159" s="13"/>
      <c r="N159" s="13"/>
      <c r="O159" s="38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</row>
    <row r="160" spans="1:43" ht="13.05" customHeight="1" x14ac:dyDescent="0.3">
      <c r="A160" s="13"/>
      <c r="B160" s="13"/>
      <c r="C160" s="13"/>
      <c r="D160" s="38"/>
      <c r="E160" s="13"/>
      <c r="F160" s="13"/>
      <c r="G160" s="16"/>
      <c r="H160" s="13"/>
      <c r="I160" s="13"/>
      <c r="J160" s="13"/>
      <c r="K160" s="16"/>
      <c r="L160" s="13"/>
      <c r="M160" s="13"/>
      <c r="N160" s="13"/>
      <c r="O160" s="38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</row>
    <row r="161" spans="1:43" ht="13.05" customHeight="1" x14ac:dyDescent="0.3">
      <c r="A161" s="13"/>
      <c r="B161" s="13"/>
      <c r="C161" s="13"/>
      <c r="D161" s="38"/>
      <c r="E161" s="13"/>
      <c r="F161" s="13"/>
      <c r="G161" s="16"/>
      <c r="H161" s="13"/>
      <c r="I161" s="13"/>
      <c r="J161" s="13"/>
      <c r="K161" s="16"/>
      <c r="L161" s="13"/>
      <c r="M161" s="13"/>
      <c r="N161" s="13"/>
      <c r="O161" s="38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</row>
    <row r="162" spans="1:43" ht="13.05" customHeight="1" x14ac:dyDescent="0.3">
      <c r="A162" s="13"/>
      <c r="B162" s="13"/>
      <c r="C162" s="13"/>
      <c r="D162" s="38"/>
      <c r="E162" s="13"/>
      <c r="F162" s="13"/>
      <c r="G162" s="16"/>
      <c r="H162" s="13"/>
      <c r="I162" s="13"/>
      <c r="J162" s="13"/>
      <c r="K162" s="16"/>
      <c r="L162" s="13"/>
      <c r="M162" s="13"/>
      <c r="N162" s="13"/>
      <c r="O162" s="38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</row>
    <row r="163" spans="1:43" ht="13.05" customHeight="1" x14ac:dyDescent="0.3">
      <c r="A163" s="13"/>
      <c r="B163" s="13"/>
      <c r="C163" s="13"/>
      <c r="D163" s="38"/>
      <c r="E163" s="13"/>
      <c r="F163" s="13"/>
      <c r="G163" s="16"/>
      <c r="H163" s="13"/>
      <c r="I163" s="13"/>
      <c r="J163" s="13"/>
      <c r="K163" s="16"/>
      <c r="L163" s="13"/>
      <c r="M163" s="13"/>
      <c r="N163" s="13"/>
      <c r="O163" s="38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</row>
    <row r="164" spans="1:43" ht="13.05" customHeight="1" x14ac:dyDescent="0.3">
      <c r="A164" s="13"/>
      <c r="B164" s="13"/>
      <c r="C164" s="13"/>
      <c r="D164" s="38"/>
      <c r="E164" s="13"/>
      <c r="F164" s="13"/>
      <c r="G164" s="16"/>
      <c r="H164" s="13"/>
      <c r="I164" s="13"/>
      <c r="J164" s="13"/>
      <c r="K164" s="16"/>
      <c r="L164" s="13"/>
      <c r="M164" s="13"/>
      <c r="N164" s="13"/>
      <c r="O164" s="38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</row>
    <row r="165" spans="1:43" ht="13.05" customHeight="1" x14ac:dyDescent="0.3">
      <c r="A165" s="13"/>
      <c r="B165" s="13"/>
      <c r="C165" s="13"/>
      <c r="D165" s="38"/>
      <c r="E165" s="13"/>
      <c r="F165" s="13"/>
      <c r="G165" s="16"/>
      <c r="H165" s="13"/>
      <c r="I165" s="13"/>
      <c r="J165" s="13"/>
      <c r="K165" s="16"/>
      <c r="L165" s="13"/>
      <c r="M165" s="13"/>
      <c r="N165" s="13"/>
      <c r="O165" s="38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</row>
    <row r="166" spans="1:43" ht="13.05" customHeight="1" x14ac:dyDescent="0.3">
      <c r="A166" s="13"/>
      <c r="B166" s="13"/>
      <c r="C166" s="13"/>
      <c r="D166" s="38"/>
      <c r="E166" s="13"/>
      <c r="F166" s="13"/>
      <c r="G166" s="16"/>
      <c r="H166" s="13"/>
      <c r="I166" s="13"/>
      <c r="J166" s="13"/>
      <c r="K166" s="16"/>
      <c r="L166" s="13"/>
      <c r="M166" s="13"/>
      <c r="N166" s="13"/>
      <c r="O166" s="38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</row>
    <row r="167" spans="1:43" ht="13.05" customHeight="1" x14ac:dyDescent="0.3">
      <c r="A167" s="13"/>
      <c r="B167" s="13"/>
      <c r="C167" s="13"/>
      <c r="D167" s="38"/>
      <c r="E167" s="13"/>
      <c r="F167" s="13"/>
      <c r="G167" s="16"/>
      <c r="H167" s="13"/>
      <c r="I167" s="13"/>
      <c r="J167" s="13"/>
      <c r="K167" s="16"/>
      <c r="L167" s="13"/>
      <c r="M167" s="13"/>
      <c r="N167" s="13"/>
      <c r="O167" s="38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</row>
    <row r="168" spans="1:43" ht="13.05" customHeight="1" x14ac:dyDescent="0.3">
      <c r="A168" s="13"/>
      <c r="B168" s="13"/>
      <c r="C168" s="13"/>
      <c r="D168" s="38"/>
      <c r="E168" s="13"/>
      <c r="F168" s="13"/>
      <c r="G168" s="16"/>
      <c r="H168" s="13"/>
      <c r="I168" s="13"/>
      <c r="J168" s="13"/>
      <c r="K168" s="16"/>
      <c r="L168" s="13"/>
      <c r="M168" s="13"/>
      <c r="N168" s="13"/>
      <c r="O168" s="38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</row>
    <row r="169" spans="1:43" ht="13.05" customHeight="1" x14ac:dyDescent="0.3">
      <c r="A169" s="13"/>
      <c r="B169" s="13"/>
      <c r="C169" s="13"/>
      <c r="D169" s="38"/>
      <c r="E169" s="13"/>
      <c r="F169" s="13"/>
      <c r="G169" s="16"/>
      <c r="H169" s="13"/>
      <c r="I169" s="13"/>
      <c r="J169" s="13"/>
      <c r="K169" s="16"/>
      <c r="L169" s="13"/>
      <c r="M169" s="13"/>
      <c r="N169" s="13"/>
      <c r="O169" s="38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</row>
    <row r="170" spans="1:43" ht="13.05" customHeight="1" x14ac:dyDescent="0.3">
      <c r="A170" s="13"/>
      <c r="B170" s="13"/>
      <c r="C170" s="13"/>
      <c r="D170" s="38"/>
      <c r="E170" s="13"/>
      <c r="F170" s="13"/>
      <c r="G170" s="16"/>
      <c r="H170" s="13"/>
      <c r="I170" s="13"/>
      <c r="J170" s="13"/>
      <c r="K170" s="16"/>
      <c r="L170" s="13"/>
      <c r="M170" s="13"/>
      <c r="N170" s="13"/>
      <c r="O170" s="38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</row>
    <row r="171" spans="1:43" ht="13.05" customHeight="1" x14ac:dyDescent="0.3">
      <c r="A171" s="13"/>
      <c r="B171" s="13"/>
      <c r="C171" s="13"/>
      <c r="D171" s="38"/>
      <c r="E171" s="13"/>
      <c r="F171" s="13"/>
      <c r="G171" s="16"/>
      <c r="H171" s="13"/>
      <c r="I171" s="13"/>
      <c r="J171" s="13"/>
      <c r="K171" s="16"/>
      <c r="L171" s="13"/>
      <c r="M171" s="13"/>
      <c r="N171" s="13"/>
      <c r="O171" s="38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</row>
    <row r="172" spans="1:43" ht="13.05" customHeight="1" x14ac:dyDescent="0.3">
      <c r="A172" s="13"/>
      <c r="B172" s="13"/>
      <c r="C172" s="13"/>
      <c r="D172" s="38"/>
      <c r="E172" s="13"/>
      <c r="F172" s="13"/>
      <c r="G172" s="16"/>
      <c r="H172" s="13"/>
      <c r="I172" s="13"/>
      <c r="J172" s="13"/>
      <c r="K172" s="16"/>
      <c r="L172" s="13"/>
      <c r="M172" s="13"/>
      <c r="N172" s="13"/>
      <c r="O172" s="38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</row>
    <row r="173" spans="1:43" ht="13.05" customHeight="1" x14ac:dyDescent="0.3">
      <c r="A173" s="13"/>
      <c r="B173" s="13"/>
      <c r="C173" s="13"/>
      <c r="D173" s="38"/>
      <c r="E173" s="13"/>
      <c r="F173" s="13"/>
      <c r="G173" s="16"/>
      <c r="H173" s="13"/>
      <c r="I173" s="13"/>
      <c r="J173" s="13"/>
      <c r="K173" s="16"/>
      <c r="L173" s="13"/>
      <c r="M173" s="13"/>
      <c r="N173" s="13"/>
      <c r="O173" s="38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</row>
    <row r="174" spans="1:43" ht="13.05" customHeight="1" x14ac:dyDescent="0.3">
      <c r="A174" s="13"/>
      <c r="B174" s="13"/>
      <c r="C174" s="13"/>
      <c r="D174" s="38"/>
      <c r="E174" s="13"/>
      <c r="F174" s="13"/>
      <c r="G174" s="16"/>
      <c r="H174" s="13"/>
      <c r="I174" s="13"/>
      <c r="J174" s="13"/>
      <c r="K174" s="16"/>
      <c r="L174" s="13"/>
      <c r="M174" s="13"/>
      <c r="N174" s="13"/>
      <c r="O174" s="38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</row>
    <row r="175" spans="1:43" ht="13.05" customHeight="1" x14ac:dyDescent="0.3">
      <c r="A175" s="13"/>
      <c r="B175" s="13"/>
      <c r="C175" s="13"/>
      <c r="D175" s="38"/>
      <c r="E175" s="13"/>
      <c r="F175" s="13"/>
      <c r="G175" s="16"/>
      <c r="H175" s="13"/>
      <c r="I175" s="13"/>
      <c r="J175" s="13"/>
      <c r="K175" s="16"/>
      <c r="L175" s="13"/>
      <c r="M175" s="13"/>
      <c r="N175" s="13"/>
      <c r="O175" s="38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</row>
    <row r="176" spans="1:43" ht="13.05" customHeight="1" x14ac:dyDescent="0.3">
      <c r="A176" s="13"/>
      <c r="B176" s="13"/>
      <c r="C176" s="13"/>
      <c r="D176" s="38"/>
      <c r="E176" s="13"/>
      <c r="F176" s="13"/>
      <c r="G176" s="16"/>
      <c r="H176" s="13"/>
      <c r="I176" s="13"/>
      <c r="J176" s="13"/>
      <c r="K176" s="16"/>
      <c r="L176" s="13"/>
      <c r="M176" s="13"/>
      <c r="N176" s="13"/>
      <c r="O176" s="38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</row>
    <row r="177" spans="1:43" ht="13.05" customHeight="1" x14ac:dyDescent="0.3">
      <c r="A177" s="13"/>
      <c r="B177" s="13"/>
      <c r="C177" s="13"/>
      <c r="D177" s="38"/>
      <c r="E177" s="13"/>
      <c r="F177" s="13"/>
      <c r="G177" s="16"/>
      <c r="H177" s="13"/>
      <c r="I177" s="13"/>
      <c r="J177" s="13"/>
      <c r="K177" s="16"/>
      <c r="L177" s="13"/>
      <c r="M177" s="13"/>
      <c r="N177" s="13"/>
      <c r="O177" s="38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</row>
    <row r="178" spans="1:43" ht="13.05" customHeight="1" x14ac:dyDescent="0.3">
      <c r="A178" s="13"/>
      <c r="B178" s="13"/>
      <c r="C178" s="13"/>
      <c r="D178" s="38"/>
      <c r="E178" s="13"/>
      <c r="F178" s="13"/>
      <c r="G178" s="16"/>
      <c r="H178" s="13"/>
      <c r="I178" s="13"/>
      <c r="J178" s="13"/>
      <c r="K178" s="16"/>
      <c r="L178" s="13"/>
      <c r="M178" s="13"/>
      <c r="N178" s="13"/>
      <c r="O178" s="38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</row>
    <row r="179" spans="1:43" ht="13.05" customHeight="1" x14ac:dyDescent="0.3">
      <c r="A179" s="13"/>
      <c r="B179" s="13"/>
      <c r="C179" s="13"/>
      <c r="D179" s="38"/>
      <c r="E179" s="13"/>
      <c r="F179" s="13"/>
      <c r="G179" s="16"/>
      <c r="H179" s="13"/>
      <c r="I179" s="13"/>
      <c r="J179" s="13"/>
      <c r="K179" s="16"/>
      <c r="L179" s="13"/>
      <c r="M179" s="13"/>
      <c r="N179" s="13"/>
      <c r="O179" s="38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</row>
    <row r="180" spans="1:43" ht="13.05" customHeight="1" x14ac:dyDescent="0.3">
      <c r="A180" s="13"/>
      <c r="B180" s="13"/>
      <c r="C180" s="13"/>
      <c r="D180" s="38"/>
      <c r="E180" s="13"/>
      <c r="F180" s="13"/>
      <c r="G180" s="16"/>
      <c r="H180" s="13"/>
      <c r="I180" s="13"/>
      <c r="J180" s="13"/>
      <c r="K180" s="16"/>
      <c r="L180" s="13"/>
      <c r="M180" s="13"/>
      <c r="N180" s="13"/>
      <c r="O180" s="38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</row>
    <row r="181" spans="1:43" ht="13.05" customHeight="1" x14ac:dyDescent="0.3">
      <c r="A181" s="13"/>
      <c r="B181" s="13"/>
      <c r="C181" s="13"/>
      <c r="D181" s="38"/>
      <c r="E181" s="13"/>
      <c r="F181" s="13"/>
      <c r="G181" s="16"/>
      <c r="H181" s="13"/>
      <c r="I181" s="13"/>
      <c r="J181" s="13"/>
      <c r="K181" s="16"/>
      <c r="L181" s="13"/>
      <c r="M181" s="13"/>
      <c r="N181" s="13"/>
      <c r="O181" s="38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</row>
    <row r="182" spans="1:43" ht="13.05" customHeight="1" x14ac:dyDescent="0.3">
      <c r="A182" s="13"/>
      <c r="B182" s="13"/>
      <c r="C182" s="13"/>
      <c r="D182" s="38"/>
      <c r="E182" s="13"/>
      <c r="F182" s="13"/>
      <c r="G182" s="16"/>
      <c r="H182" s="13"/>
      <c r="I182" s="13"/>
      <c r="J182" s="13"/>
      <c r="K182" s="16"/>
      <c r="L182" s="13"/>
      <c r="M182" s="13"/>
      <c r="N182" s="13"/>
      <c r="O182" s="38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</row>
    <row r="183" spans="1:43" ht="13.05" customHeight="1" x14ac:dyDescent="0.3">
      <c r="A183" s="13"/>
      <c r="B183" s="13"/>
      <c r="C183" s="13"/>
      <c r="D183" s="38"/>
      <c r="E183" s="13"/>
      <c r="F183" s="13"/>
      <c r="G183" s="16"/>
      <c r="H183" s="13"/>
      <c r="I183" s="13"/>
      <c r="J183" s="13"/>
      <c r="K183" s="16"/>
      <c r="L183" s="13"/>
      <c r="M183" s="13"/>
      <c r="N183" s="13"/>
      <c r="O183" s="38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</row>
    <row r="184" spans="1:43" ht="13.05" customHeight="1" x14ac:dyDescent="0.3">
      <c r="A184" s="13"/>
      <c r="B184" s="13"/>
      <c r="C184" s="13"/>
      <c r="D184" s="38"/>
      <c r="E184" s="13"/>
      <c r="F184" s="13"/>
      <c r="G184" s="16"/>
      <c r="H184" s="13"/>
      <c r="I184" s="13"/>
      <c r="J184" s="13"/>
      <c r="K184" s="16"/>
      <c r="L184" s="13"/>
      <c r="M184" s="13"/>
      <c r="N184" s="13"/>
      <c r="O184" s="38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</row>
    <row r="185" spans="1:43" ht="13.05" customHeight="1" x14ac:dyDescent="0.3">
      <c r="A185" s="13"/>
      <c r="B185" s="13"/>
      <c r="C185" s="13"/>
      <c r="D185" s="38"/>
      <c r="E185" s="13"/>
      <c r="F185" s="13"/>
      <c r="G185" s="16"/>
      <c r="H185" s="13"/>
      <c r="I185" s="13"/>
      <c r="J185" s="13"/>
      <c r="K185" s="16"/>
      <c r="L185" s="13"/>
      <c r="M185" s="13"/>
      <c r="N185" s="13"/>
      <c r="O185" s="38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</row>
    <row r="186" spans="1:43" ht="13.05" customHeight="1" x14ac:dyDescent="0.3">
      <c r="A186" s="13"/>
      <c r="B186" s="13"/>
      <c r="C186" s="13"/>
      <c r="D186" s="38"/>
      <c r="E186" s="13"/>
      <c r="F186" s="13"/>
      <c r="G186" s="16"/>
      <c r="H186" s="13"/>
      <c r="I186" s="13"/>
      <c r="J186" s="13"/>
      <c r="K186" s="16"/>
      <c r="L186" s="13"/>
      <c r="M186" s="13"/>
      <c r="N186" s="13"/>
      <c r="O186" s="38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</row>
    <row r="187" spans="1:43" ht="13.05" customHeight="1" x14ac:dyDescent="0.3">
      <c r="A187" s="13"/>
      <c r="B187" s="13"/>
      <c r="C187" s="13"/>
      <c r="D187" s="38"/>
      <c r="E187" s="13"/>
      <c r="F187" s="13"/>
      <c r="G187" s="16"/>
      <c r="H187" s="13"/>
      <c r="I187" s="13"/>
      <c r="J187" s="13"/>
      <c r="K187" s="16"/>
      <c r="L187" s="13"/>
      <c r="M187" s="13"/>
      <c r="N187" s="13"/>
      <c r="O187" s="38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</row>
    <row r="188" spans="1:43" ht="13.05" customHeight="1" x14ac:dyDescent="0.3">
      <c r="A188" s="13"/>
      <c r="B188" s="13"/>
      <c r="C188" s="13"/>
      <c r="D188" s="38"/>
      <c r="E188" s="13"/>
      <c r="F188" s="13"/>
      <c r="G188" s="16"/>
      <c r="H188" s="13"/>
      <c r="I188" s="13"/>
      <c r="J188" s="13"/>
      <c r="K188" s="16"/>
      <c r="L188" s="13"/>
      <c r="M188" s="13"/>
      <c r="N188" s="13"/>
      <c r="O188" s="38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</row>
    <row r="189" spans="1:43" ht="13.05" customHeight="1" x14ac:dyDescent="0.3">
      <c r="A189" s="13"/>
      <c r="B189" s="13"/>
      <c r="C189" s="13"/>
      <c r="D189" s="38"/>
      <c r="E189" s="13"/>
      <c r="F189" s="13"/>
      <c r="G189" s="16"/>
      <c r="H189" s="13"/>
      <c r="I189" s="13"/>
      <c r="J189" s="13"/>
      <c r="K189" s="16"/>
      <c r="L189" s="13"/>
      <c r="M189" s="13"/>
      <c r="N189" s="13"/>
      <c r="O189" s="38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</row>
    <row r="190" spans="1:43" ht="13.05" customHeight="1" x14ac:dyDescent="0.3">
      <c r="A190" s="13"/>
      <c r="B190" s="13"/>
      <c r="C190" s="13"/>
      <c r="D190" s="38"/>
      <c r="E190" s="13"/>
      <c r="F190" s="13"/>
      <c r="G190" s="16"/>
      <c r="H190" s="13"/>
      <c r="I190" s="13"/>
      <c r="J190" s="13"/>
      <c r="K190" s="16"/>
      <c r="L190" s="13"/>
      <c r="M190" s="13"/>
      <c r="N190" s="13"/>
      <c r="O190" s="38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</row>
    <row r="191" spans="1:43" ht="13.05" customHeight="1" x14ac:dyDescent="0.3">
      <c r="A191" s="13"/>
      <c r="B191" s="13"/>
      <c r="C191" s="13"/>
      <c r="D191" s="38"/>
      <c r="E191" s="13"/>
      <c r="F191" s="13"/>
      <c r="G191" s="16"/>
      <c r="H191" s="13"/>
      <c r="I191" s="13"/>
      <c r="J191" s="13"/>
      <c r="K191" s="16"/>
      <c r="L191" s="13"/>
      <c r="M191" s="13"/>
      <c r="N191" s="13"/>
      <c r="O191" s="38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</row>
    <row r="192" spans="1:43" ht="13.05" customHeight="1" x14ac:dyDescent="0.3">
      <c r="A192" s="13"/>
      <c r="B192" s="13"/>
      <c r="C192" s="13"/>
      <c r="D192" s="38"/>
      <c r="E192" s="13"/>
      <c r="F192" s="13"/>
      <c r="G192" s="16"/>
      <c r="H192" s="13"/>
      <c r="I192" s="13"/>
      <c r="J192" s="13"/>
      <c r="K192" s="16"/>
      <c r="L192" s="13"/>
      <c r="M192" s="13"/>
      <c r="N192" s="13"/>
      <c r="O192" s="38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</row>
    <row r="193" spans="1:43" ht="13.05" customHeight="1" x14ac:dyDescent="0.3">
      <c r="A193" s="13"/>
      <c r="B193" s="13"/>
      <c r="C193" s="13"/>
      <c r="D193" s="38"/>
      <c r="E193" s="13"/>
      <c r="F193" s="13"/>
      <c r="G193" s="16"/>
      <c r="H193" s="13"/>
      <c r="I193" s="13"/>
      <c r="J193" s="13"/>
      <c r="K193" s="16"/>
      <c r="L193" s="13"/>
      <c r="M193" s="13"/>
      <c r="N193" s="13"/>
      <c r="O193" s="38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</row>
    <row r="194" spans="1:43" ht="13.05" customHeight="1" x14ac:dyDescent="0.3">
      <c r="A194" s="13"/>
      <c r="B194" s="13"/>
      <c r="C194" s="13"/>
      <c r="D194" s="38"/>
      <c r="E194" s="13"/>
      <c r="F194" s="13"/>
      <c r="G194" s="16"/>
      <c r="H194" s="13"/>
      <c r="I194" s="13"/>
      <c r="J194" s="13"/>
      <c r="K194" s="16"/>
      <c r="L194" s="13"/>
      <c r="M194" s="13"/>
      <c r="N194" s="13"/>
      <c r="O194" s="38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</row>
    <row r="195" spans="1:43" ht="13.05" customHeight="1" x14ac:dyDescent="0.3">
      <c r="A195" s="13"/>
      <c r="B195" s="13"/>
      <c r="C195" s="13"/>
      <c r="D195" s="38"/>
      <c r="E195" s="13"/>
      <c r="F195" s="13"/>
      <c r="G195" s="16"/>
      <c r="H195" s="13"/>
      <c r="I195" s="13"/>
      <c r="J195" s="13"/>
      <c r="K195" s="16"/>
      <c r="L195" s="13"/>
      <c r="M195" s="13"/>
      <c r="N195" s="13"/>
      <c r="O195" s="38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</row>
    <row r="196" spans="1:43" ht="13.05" customHeight="1" x14ac:dyDescent="0.3">
      <c r="A196" s="13"/>
      <c r="B196" s="13"/>
      <c r="C196" s="13"/>
      <c r="D196" s="38"/>
      <c r="E196" s="13"/>
      <c r="F196" s="13"/>
      <c r="G196" s="16"/>
      <c r="H196" s="13"/>
      <c r="I196" s="13"/>
      <c r="J196" s="13"/>
      <c r="K196" s="16"/>
      <c r="L196" s="13"/>
      <c r="M196" s="13"/>
      <c r="N196" s="13"/>
      <c r="O196" s="38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</row>
    <row r="197" spans="1:43" ht="13.05" customHeight="1" x14ac:dyDescent="0.3">
      <c r="A197" s="13"/>
      <c r="B197" s="13"/>
      <c r="C197" s="13"/>
      <c r="D197" s="38"/>
      <c r="E197" s="13"/>
      <c r="F197" s="13"/>
      <c r="G197" s="16"/>
      <c r="H197" s="13"/>
      <c r="I197" s="13"/>
      <c r="J197" s="13"/>
      <c r="K197" s="16"/>
      <c r="L197" s="13"/>
      <c r="M197" s="13"/>
      <c r="N197" s="13"/>
      <c r="O197" s="38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</row>
    <row r="198" spans="1:43" ht="13.05" customHeight="1" x14ac:dyDescent="0.3">
      <c r="A198" s="13"/>
      <c r="B198" s="13"/>
      <c r="C198" s="13"/>
      <c r="D198" s="38"/>
      <c r="E198" s="13"/>
      <c r="F198" s="13"/>
      <c r="G198" s="16"/>
      <c r="H198" s="13"/>
      <c r="I198" s="13"/>
      <c r="J198" s="13"/>
      <c r="K198" s="16"/>
      <c r="L198" s="13"/>
      <c r="M198" s="13"/>
      <c r="N198" s="13"/>
      <c r="O198" s="38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</row>
    <row r="199" spans="1:43" ht="13.05" customHeight="1" x14ac:dyDescent="0.3">
      <c r="A199" s="13"/>
      <c r="B199" s="13"/>
      <c r="C199" s="13"/>
      <c r="D199" s="38"/>
      <c r="E199" s="13"/>
      <c r="F199" s="13"/>
      <c r="G199" s="16"/>
      <c r="H199" s="13"/>
      <c r="I199" s="13"/>
      <c r="J199" s="13"/>
      <c r="K199" s="16"/>
      <c r="L199" s="13"/>
      <c r="M199" s="13"/>
      <c r="N199" s="13"/>
      <c r="O199" s="38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</row>
    <row r="200" spans="1:43" ht="13.05" customHeight="1" x14ac:dyDescent="0.3">
      <c r="A200" s="13"/>
      <c r="B200" s="13"/>
      <c r="C200" s="13"/>
      <c r="D200" s="38"/>
      <c r="E200" s="13"/>
      <c r="F200" s="13"/>
      <c r="G200" s="16"/>
      <c r="H200" s="13"/>
      <c r="I200" s="13"/>
      <c r="J200" s="13"/>
      <c r="K200" s="16"/>
      <c r="L200" s="13"/>
      <c r="M200" s="13"/>
      <c r="N200" s="13"/>
      <c r="O200" s="38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</row>
  </sheetData>
  <dataValidations count="8">
    <dataValidation type="list" allowBlank="1" showInputMessage="1" showErrorMessage="1" promptTitle="Category" prompt="Select category" sqref="D6:D155" xr:uid="{00000000-0002-0000-0200-000000000000}">
      <formula1>"Technical,Schedule,Cost,Resource,External,Quality,Legal"</formula1>
    </dataValidation>
    <dataValidation type="list" allowBlank="1" showInputMessage="1" showErrorMessage="1" promptTitle="Priority" prompt="Select priority level" sqref="I6:I155" xr:uid="{00000000-0002-0000-0200-000001000000}">
      <formula1>"Low,Medium,High,Critical"</formula1>
    </dataValidation>
    <dataValidation type="list" allowBlank="1" showInputMessage="1" showErrorMessage="1" promptTitle="Assigned To" prompt="Select team member" sqref="J6:J155" xr:uid="{00000000-0002-0000-0200-000002000000}">
      <formula1>"Sarah Chen,James Rodriguez,Emily Watson,David Kim,Priya Patel,Marcus Johnson,Lisa Chang"</formula1>
    </dataValidation>
    <dataValidation type="list" allowBlank="1" showInputMessage="1" showErrorMessage="1" promptTitle="Status" prompt="Select status" sqref="M6:M155" xr:uid="{00000000-0002-0000-0200-000003000000}">
      <formula1>"Not Started,In Progress,Resolved,On Hold,Cancelled"</formula1>
    </dataValidation>
    <dataValidation type="list" allowBlank="1" showInputMessage="1" showErrorMessage="1" promptTitle="% Complete" prompt="Select completion %" sqref="N6:N155" xr:uid="{00000000-0002-0000-0200-000004000000}">
      <formula1>"0%,10%,20%,30%,40%,50%,60%,70%,80%,90%,100%"</formula1>
    </dataValidation>
    <dataValidation type="list" allowBlank="1" showInputMessage="1" showErrorMessage="1" promptTitle="Raised By" prompt="Select who raised" sqref="E6:E155" xr:uid="{00000000-0002-0000-0200-000005000000}">
      <formula1>"Sarah Chen,James Rodriguez,Emily Watson,David Kim,Priya Patel,Marcus Johnson,Lisa Chang"</formula1>
    </dataValidation>
    <dataValidation type="list" allowBlank="1" showInputMessage="1" showErrorMessage="1" promptTitle="Filter ASSOC. ID by Type" prompt="Select the type of associated item to filter the ID list below" sqref="C4" xr:uid="{00000000-0002-0000-0200-000006000000}">
      <formula1>"Risk,Issue,Decision"</formula1>
    </dataValidation>
    <dataValidation type="list" allowBlank="1" showInputMessage="1" showErrorMessage="1" promptTitle="Associated ID" prompt="Change C4 to filter by Risk, Issue, or Decision" sqref="C16:C155" xr:uid="{00000000-0002-0000-0200-000007000000}">
      <formula1>"Config!$P$2:$P$1000"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Associated ID" prompt="Change C4 to filter by Risk, Issue, or Decision" xr:uid="{712340D1-631A-40C9-9782-C2C53CE75D14}">
          <x14:formula1>
            <xm:f>Config!$P:$P</xm:f>
          </x14:formula1>
          <xm:sqref>C6:C15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E67E22"/>
  </sheetPr>
  <dimension ref="A1:AV200"/>
  <sheetViews>
    <sheetView showGridLines="0" workbookViewId="0">
      <pane ySplit="5" topLeftCell="A6" activePane="bottomLeft" state="frozen"/>
      <selection pane="bottomLeft" activeCell="Q6" sqref="C6:Q15"/>
    </sheetView>
  </sheetViews>
  <sheetFormatPr defaultRowHeight="13.2" x14ac:dyDescent="0.25"/>
  <cols>
    <col min="1" max="1" width="1.44140625" customWidth="1"/>
    <col min="2" max="2" width="9.109375" customWidth="1"/>
    <col min="3" max="3" width="11.77734375" customWidth="1"/>
    <col min="4" max="5" width="18.21875" customWidth="1"/>
    <col min="6" max="6" width="15.44140625" customWidth="1"/>
    <col min="7" max="7" width="0.77734375" style="22" customWidth="1"/>
    <col min="8" max="8" width="45.44140625" customWidth="1"/>
    <col min="9" max="9" width="15.44140625" customWidth="1"/>
    <col min="10" max="10" width="12.77734375" customWidth="1"/>
    <col min="11" max="11" width="0.77734375" style="22" customWidth="1"/>
    <col min="12" max="12" width="40" customWidth="1"/>
    <col min="13" max="13" width="20" customWidth="1"/>
    <col min="14" max="14" width="15.44140625" customWidth="1"/>
    <col min="15" max="15" width="17.21875" customWidth="1"/>
    <col min="16" max="16" width="0.77734375" style="22" customWidth="1"/>
    <col min="17" max="17" width="18.21875" customWidth="1"/>
    <col min="18" max="18" width="12.77734375" customWidth="1"/>
    <col min="19" max="19" width="36.33203125" customWidth="1"/>
  </cols>
  <sheetData>
    <row r="1" spans="1:48" ht="13.05" customHeight="1" x14ac:dyDescent="0.3">
      <c r="A1" s="14"/>
      <c r="B1" s="14"/>
      <c r="C1" s="14"/>
      <c r="D1" s="14"/>
      <c r="E1" s="14"/>
      <c r="F1" s="14"/>
      <c r="G1" s="16"/>
      <c r="H1" s="14"/>
      <c r="I1" s="14"/>
      <c r="J1" s="14"/>
      <c r="K1" s="16"/>
      <c r="L1" s="14"/>
      <c r="M1" s="14"/>
      <c r="N1" s="14"/>
      <c r="O1" s="14"/>
      <c r="P1" s="16"/>
      <c r="Q1" s="14"/>
      <c r="R1" s="14"/>
      <c r="S1" s="14"/>
      <c r="T1" s="14"/>
      <c r="U1" s="13"/>
      <c r="V1" s="13"/>
      <c r="W1" s="13"/>
      <c r="X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</row>
    <row r="2" spans="1:48" ht="28.5" customHeight="1" x14ac:dyDescent="0.55000000000000004">
      <c r="A2" s="14"/>
      <c r="B2" s="15" t="s">
        <v>176</v>
      </c>
      <c r="C2" s="14"/>
      <c r="D2" s="14"/>
      <c r="E2" s="14"/>
      <c r="F2" s="14"/>
      <c r="G2" s="16"/>
      <c r="H2" s="28" t="s">
        <v>95</v>
      </c>
      <c r="I2" s="29">
        <f>COUNTIFS(O6:O155,"&lt;&gt;Resolved",O6:O155,"&lt;&gt;Cancelled",B6:B155,"&lt;&gt;")</f>
        <v>150</v>
      </c>
      <c r="J2" s="14"/>
      <c r="K2" s="16"/>
      <c r="L2" s="14">
        <f ca="1">COUNTIFS(N6:N155,"&lt;"&amp;TODAY(),O6:O155,"&lt;&gt;Resolved",O6:O155,"&lt;&gt;Cancelled",N6:N155,"&lt;&gt;")</f>
        <v>0</v>
      </c>
      <c r="M2" s="14"/>
      <c r="N2" s="14"/>
      <c r="O2" s="14"/>
      <c r="P2" s="16"/>
      <c r="Q2" s="14"/>
      <c r="R2" s="14"/>
      <c r="S2" s="14"/>
      <c r="T2" s="14"/>
      <c r="U2" s="13"/>
      <c r="V2" s="13"/>
      <c r="W2" s="13"/>
      <c r="X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</row>
    <row r="3" spans="1:48" ht="13.05" customHeight="1" x14ac:dyDescent="0.3">
      <c r="A3" s="14"/>
      <c r="B3" s="14"/>
      <c r="C3" s="14"/>
      <c r="D3" s="14"/>
      <c r="E3" s="14"/>
      <c r="F3" s="14"/>
      <c r="G3" s="16"/>
      <c r="H3" s="14"/>
      <c r="I3" s="14"/>
      <c r="J3" s="14"/>
      <c r="K3" s="16"/>
      <c r="L3" s="14"/>
      <c r="M3" s="14"/>
      <c r="N3" s="14"/>
      <c r="O3" s="14"/>
      <c r="P3" s="16"/>
      <c r="Q3" s="14"/>
      <c r="R3" s="14"/>
      <c r="S3" s="14"/>
      <c r="T3" s="14"/>
      <c r="U3" s="13"/>
      <c r="V3" s="13"/>
      <c r="W3" s="13"/>
      <c r="X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</row>
    <row r="4" spans="1:48" ht="13.05" customHeight="1" x14ac:dyDescent="0.3">
      <c r="A4" s="13"/>
      <c r="B4" s="107" t="s">
        <v>122</v>
      </c>
      <c r="C4" s="106" t="s">
        <v>35</v>
      </c>
      <c r="D4" s="13"/>
      <c r="E4" s="13"/>
      <c r="F4" s="13"/>
      <c r="G4" s="16"/>
      <c r="H4" s="25" t="s">
        <v>123</v>
      </c>
      <c r="I4" s="13"/>
      <c r="J4" s="13"/>
      <c r="K4" s="16"/>
      <c r="L4" s="25" t="s">
        <v>177</v>
      </c>
      <c r="M4" s="13"/>
      <c r="N4" s="13"/>
      <c r="O4" s="13"/>
      <c r="P4" s="16"/>
      <c r="Q4" s="25" t="s">
        <v>99</v>
      </c>
      <c r="R4" s="13"/>
      <c r="S4" s="13"/>
      <c r="T4" s="13"/>
      <c r="U4" s="13"/>
      <c r="V4" s="13"/>
      <c r="W4" s="13"/>
      <c r="X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</row>
    <row r="5" spans="1:48" ht="36" customHeight="1" x14ac:dyDescent="0.3">
      <c r="A5" s="13"/>
      <c r="B5" s="23" t="s">
        <v>71</v>
      </c>
      <c r="C5" s="23" t="s">
        <v>124</v>
      </c>
      <c r="D5" s="23" t="s">
        <v>100</v>
      </c>
      <c r="E5" s="23" t="s">
        <v>102</v>
      </c>
      <c r="F5" s="23" t="s">
        <v>125</v>
      </c>
      <c r="G5" s="23"/>
      <c r="H5" s="23" t="s">
        <v>178</v>
      </c>
      <c r="I5" s="23" t="s">
        <v>73</v>
      </c>
      <c r="J5" s="23" t="s">
        <v>179</v>
      </c>
      <c r="K5" s="23"/>
      <c r="L5" s="23" t="s">
        <v>180</v>
      </c>
      <c r="M5" s="23" t="s">
        <v>127</v>
      </c>
      <c r="N5" s="23" t="s">
        <v>109</v>
      </c>
      <c r="O5" s="23" t="s">
        <v>110</v>
      </c>
      <c r="P5" s="23"/>
      <c r="Q5" s="23" t="s">
        <v>136</v>
      </c>
      <c r="R5" s="23" t="s">
        <v>75</v>
      </c>
      <c r="S5" s="23" t="s">
        <v>112</v>
      </c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</row>
    <row r="6" spans="1:48" ht="28.05" customHeight="1" x14ac:dyDescent="0.3">
      <c r="A6" s="13"/>
      <c r="B6" s="34" t="str">
        <f t="shared" ref="B6:B37" si="0">IF(COUNTA(C6,D6,E6,H6,I6)=0,"","I"&amp;TEXT(ROW()-5,"000"))</f>
        <v/>
      </c>
      <c r="C6" s="38"/>
      <c r="D6" s="31"/>
      <c r="E6" s="31"/>
      <c r="F6" s="40"/>
      <c r="G6" s="32"/>
      <c r="H6" s="31"/>
      <c r="I6" s="43"/>
      <c r="J6" s="43"/>
      <c r="K6" s="32"/>
      <c r="L6" s="31"/>
      <c r="M6" s="31"/>
      <c r="N6" s="51"/>
      <c r="O6" s="48"/>
      <c r="P6" s="32"/>
      <c r="Q6" s="38"/>
      <c r="R6" t="str">
        <f ca="1">IF(F6="","",TODAY()-F6)</f>
        <v/>
      </c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</row>
    <row r="7" spans="1:48" ht="28.05" customHeight="1" x14ac:dyDescent="0.3">
      <c r="A7" s="13"/>
      <c r="B7" s="34" t="str">
        <f t="shared" si="0"/>
        <v/>
      </c>
      <c r="C7" s="39"/>
      <c r="D7" s="33"/>
      <c r="E7" s="33"/>
      <c r="F7" s="41"/>
      <c r="G7" s="33"/>
      <c r="H7" s="33"/>
      <c r="I7" s="45"/>
      <c r="J7" s="45"/>
      <c r="K7" s="33"/>
      <c r="L7" s="33"/>
      <c r="M7" s="33"/>
      <c r="N7" s="52"/>
      <c r="O7" s="48"/>
      <c r="P7" s="33"/>
      <c r="Q7" s="39"/>
      <c r="R7" t="str">
        <f ca="1">IF(F7="","",TODAY()-F7)</f>
        <v/>
      </c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</row>
    <row r="8" spans="1:48" ht="28.05" customHeight="1" x14ac:dyDescent="0.3">
      <c r="A8" s="13"/>
      <c r="B8" s="34" t="str">
        <f t="shared" si="0"/>
        <v/>
      </c>
      <c r="C8" s="38"/>
      <c r="D8" s="31"/>
      <c r="E8" s="31"/>
      <c r="F8" s="40"/>
      <c r="G8" s="32"/>
      <c r="H8" s="31"/>
      <c r="I8" s="43"/>
      <c r="J8" s="43"/>
      <c r="K8" s="32"/>
      <c r="L8" s="31"/>
      <c r="M8" s="31"/>
      <c r="N8" s="51"/>
      <c r="O8" s="48"/>
      <c r="P8" s="32"/>
      <c r="Q8" s="38"/>
      <c r="R8" t="str">
        <f ca="1">IF(F8="","",TODAY()-F8)</f>
        <v/>
      </c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</row>
    <row r="9" spans="1:48" ht="28.05" customHeight="1" x14ac:dyDescent="0.3">
      <c r="A9" s="13"/>
      <c r="B9" s="34" t="str">
        <f t="shared" si="0"/>
        <v/>
      </c>
      <c r="C9" s="39"/>
      <c r="D9" s="33"/>
      <c r="E9" s="33"/>
      <c r="F9" s="41"/>
      <c r="G9" s="33"/>
      <c r="H9" s="33"/>
      <c r="I9" s="45"/>
      <c r="J9" s="45"/>
      <c r="K9" s="33"/>
      <c r="L9" s="33"/>
      <c r="M9" s="33"/>
      <c r="N9" s="41"/>
      <c r="O9" s="48"/>
      <c r="P9" s="33"/>
      <c r="Q9" s="39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</row>
    <row r="10" spans="1:48" ht="28.05" customHeight="1" x14ac:dyDescent="0.3">
      <c r="A10" s="13"/>
      <c r="B10" s="34" t="str">
        <f t="shared" si="0"/>
        <v/>
      </c>
      <c r="C10" s="38"/>
      <c r="D10" s="31"/>
      <c r="E10" s="31"/>
      <c r="F10" s="40"/>
      <c r="G10" s="32"/>
      <c r="H10" s="31"/>
      <c r="I10" s="46"/>
      <c r="J10" s="46"/>
      <c r="K10" s="32"/>
      <c r="L10" s="31"/>
      <c r="M10" s="31"/>
      <c r="N10" s="40"/>
      <c r="O10" s="50"/>
      <c r="P10" s="32"/>
      <c r="Q10" s="38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</row>
    <row r="11" spans="1:48" ht="28.05" customHeight="1" x14ac:dyDescent="0.3">
      <c r="A11" s="13"/>
      <c r="B11" s="34" t="str">
        <f t="shared" si="0"/>
        <v/>
      </c>
      <c r="C11" s="39"/>
      <c r="D11" s="33"/>
      <c r="E11" s="33"/>
      <c r="F11" s="41"/>
      <c r="G11" s="33"/>
      <c r="H11" s="33"/>
      <c r="I11" s="45"/>
      <c r="J11" s="45"/>
      <c r="K11" s="33"/>
      <c r="L11" s="33"/>
      <c r="M11" s="33"/>
      <c r="N11" s="41"/>
      <c r="O11" s="48"/>
      <c r="P11" s="33"/>
      <c r="Q11" s="39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</row>
    <row r="12" spans="1:48" ht="28.05" customHeight="1" x14ac:dyDescent="0.3">
      <c r="A12" s="13"/>
      <c r="B12" s="34" t="str">
        <f t="shared" si="0"/>
        <v/>
      </c>
      <c r="C12" s="38"/>
      <c r="D12" s="31"/>
      <c r="E12" s="31"/>
      <c r="F12" s="40"/>
      <c r="G12" s="32"/>
      <c r="H12" s="31"/>
      <c r="I12" s="46"/>
      <c r="J12" s="46"/>
      <c r="K12" s="32"/>
      <c r="L12" s="31"/>
      <c r="M12" s="31"/>
      <c r="N12" s="40"/>
      <c r="O12" s="49"/>
      <c r="P12" s="32"/>
      <c r="Q12" s="38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</row>
    <row r="13" spans="1:48" ht="28.05" customHeight="1" x14ac:dyDescent="0.3">
      <c r="A13" s="13"/>
      <c r="B13" s="34" t="str">
        <f t="shared" si="0"/>
        <v/>
      </c>
      <c r="C13" s="39"/>
      <c r="D13" s="33"/>
      <c r="E13" s="33"/>
      <c r="F13" s="41"/>
      <c r="G13" s="33"/>
      <c r="H13" s="33"/>
      <c r="I13" s="45"/>
      <c r="J13" s="45"/>
      <c r="K13" s="33"/>
      <c r="L13" s="33"/>
      <c r="M13" s="33"/>
      <c r="N13" s="41"/>
      <c r="O13" s="48"/>
      <c r="P13" s="33"/>
      <c r="Q13" s="39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</row>
    <row r="14" spans="1:48" ht="28.05" customHeight="1" x14ac:dyDescent="0.3">
      <c r="A14" s="13"/>
      <c r="B14" s="34" t="str">
        <f t="shared" si="0"/>
        <v/>
      </c>
      <c r="C14" s="38"/>
      <c r="D14" s="31"/>
      <c r="E14" s="31"/>
      <c r="F14" s="40"/>
      <c r="G14" s="32"/>
      <c r="H14" s="31"/>
      <c r="I14" s="46"/>
      <c r="J14" s="46"/>
      <c r="K14" s="32"/>
      <c r="L14" s="31"/>
      <c r="M14" s="31"/>
      <c r="N14" s="40"/>
      <c r="O14" s="49"/>
      <c r="P14" s="32"/>
      <c r="Q14" s="38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</row>
    <row r="15" spans="1:48" ht="28.05" customHeight="1" x14ac:dyDescent="0.3">
      <c r="A15" s="13"/>
      <c r="B15" s="34" t="str">
        <f t="shared" si="0"/>
        <v/>
      </c>
      <c r="C15" s="39"/>
      <c r="D15" s="33"/>
      <c r="E15" s="33"/>
      <c r="F15" s="41"/>
      <c r="G15" s="33"/>
      <c r="H15" s="33"/>
      <c r="I15" s="45"/>
      <c r="J15" s="45"/>
      <c r="K15" s="33"/>
      <c r="L15" s="33"/>
      <c r="M15" s="33"/>
      <c r="N15" s="41"/>
      <c r="O15" s="48"/>
      <c r="P15" s="33"/>
      <c r="Q15" s="39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</row>
    <row r="16" spans="1:48" ht="13.05" customHeight="1" x14ac:dyDescent="0.3">
      <c r="A16" s="13"/>
      <c r="B16" s="34" t="str">
        <f t="shared" si="0"/>
        <v/>
      </c>
      <c r="C16" s="13"/>
      <c r="D16" s="13"/>
      <c r="E16" s="13"/>
      <c r="F16" s="13"/>
      <c r="G16" s="16"/>
      <c r="H16" s="13"/>
      <c r="I16" s="13"/>
      <c r="J16" s="13"/>
      <c r="K16" s="16"/>
      <c r="L16" s="13"/>
      <c r="M16" s="13"/>
      <c r="N16" s="13"/>
      <c r="O16" s="13"/>
      <c r="P16" s="16"/>
      <c r="Q16" s="13"/>
      <c r="R16" s="13"/>
      <c r="S16" s="13"/>
      <c r="T16" s="13"/>
      <c r="U16" s="13"/>
      <c r="V16" s="13"/>
      <c r="W16" s="13"/>
      <c r="X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</row>
    <row r="17" spans="1:48" ht="13.05" customHeight="1" x14ac:dyDescent="0.3">
      <c r="A17" s="13"/>
      <c r="B17" s="34" t="str">
        <f t="shared" si="0"/>
        <v/>
      </c>
      <c r="C17" s="13"/>
      <c r="D17" s="13"/>
      <c r="E17" s="13"/>
      <c r="F17" s="13"/>
      <c r="G17" s="16"/>
      <c r="H17" s="13"/>
      <c r="I17" s="13"/>
      <c r="J17" s="13"/>
      <c r="K17" s="16"/>
      <c r="L17" s="13"/>
      <c r="M17" s="13"/>
      <c r="N17" s="13"/>
      <c r="O17" s="13"/>
      <c r="P17" s="16"/>
      <c r="Q17" s="13"/>
      <c r="R17" s="13"/>
      <c r="S17" s="13"/>
      <c r="T17" s="13"/>
      <c r="U17" s="13"/>
      <c r="V17" s="13"/>
      <c r="W17" s="13"/>
      <c r="X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</row>
    <row r="18" spans="1:48" ht="13.05" customHeight="1" x14ac:dyDescent="0.3">
      <c r="A18" s="13"/>
      <c r="B18" s="34" t="str">
        <f t="shared" si="0"/>
        <v/>
      </c>
      <c r="C18" s="13"/>
      <c r="D18" s="13"/>
      <c r="E18" s="13"/>
      <c r="F18" s="13"/>
      <c r="G18" s="16"/>
      <c r="H18" s="13"/>
      <c r="I18" s="13"/>
      <c r="J18" s="13"/>
      <c r="K18" s="16"/>
      <c r="L18" s="13"/>
      <c r="M18" s="13"/>
      <c r="N18" s="13"/>
      <c r="O18" s="13"/>
      <c r="P18" s="16"/>
      <c r="Q18" s="13"/>
      <c r="R18" s="13"/>
      <c r="S18" s="13"/>
      <c r="T18" s="13"/>
      <c r="U18" s="13"/>
      <c r="V18" s="13"/>
      <c r="W18" s="13"/>
      <c r="X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</row>
    <row r="19" spans="1:48" ht="13.05" customHeight="1" x14ac:dyDescent="0.3">
      <c r="A19" s="13"/>
      <c r="B19" s="34" t="str">
        <f t="shared" si="0"/>
        <v/>
      </c>
      <c r="C19" s="13"/>
      <c r="D19" s="13"/>
      <c r="E19" s="13"/>
      <c r="F19" s="13"/>
      <c r="G19" s="16"/>
      <c r="H19" s="13"/>
      <c r="I19" s="13"/>
      <c r="J19" s="13"/>
      <c r="K19" s="16"/>
      <c r="L19" s="13"/>
      <c r="M19" s="13"/>
      <c r="N19" s="13"/>
      <c r="O19" s="13"/>
      <c r="P19" s="16"/>
      <c r="Q19" s="13"/>
      <c r="R19" s="13"/>
      <c r="S19" s="13"/>
      <c r="T19" s="13"/>
      <c r="U19" s="13"/>
      <c r="V19" s="13"/>
      <c r="W19" s="13"/>
      <c r="X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</row>
    <row r="20" spans="1:48" ht="13.05" customHeight="1" x14ac:dyDescent="0.3">
      <c r="A20" s="13"/>
      <c r="B20" s="34" t="str">
        <f t="shared" si="0"/>
        <v/>
      </c>
      <c r="C20" s="13"/>
      <c r="D20" s="13"/>
      <c r="E20" s="13"/>
      <c r="F20" s="13"/>
      <c r="G20" s="16"/>
      <c r="H20" s="13"/>
      <c r="I20" s="13"/>
      <c r="J20" s="13"/>
      <c r="K20" s="16"/>
      <c r="L20" s="13"/>
      <c r="M20" s="13"/>
      <c r="N20" s="13"/>
      <c r="O20" s="13"/>
      <c r="P20" s="16"/>
      <c r="Q20" s="13"/>
      <c r="R20" s="13"/>
      <c r="S20" s="13"/>
      <c r="T20" s="13"/>
      <c r="U20" s="13"/>
      <c r="V20" s="13"/>
      <c r="W20" s="13"/>
      <c r="X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</row>
    <row r="21" spans="1:48" ht="13.05" customHeight="1" x14ac:dyDescent="0.3">
      <c r="A21" s="13"/>
      <c r="B21" s="34" t="str">
        <f t="shared" si="0"/>
        <v/>
      </c>
      <c r="C21" s="13"/>
      <c r="D21" s="13"/>
      <c r="E21" s="13"/>
      <c r="F21" s="13"/>
      <c r="G21" s="16"/>
      <c r="H21" s="13"/>
      <c r="I21" s="13"/>
      <c r="J21" s="13"/>
      <c r="K21" s="16"/>
      <c r="L21" s="13"/>
      <c r="M21" s="13"/>
      <c r="N21" s="13"/>
      <c r="O21" s="13"/>
      <c r="P21" s="16"/>
      <c r="Q21" s="13"/>
      <c r="R21" s="13"/>
      <c r="S21" s="13"/>
      <c r="T21" s="13"/>
      <c r="U21" s="13"/>
      <c r="V21" s="13"/>
      <c r="W21" s="13"/>
      <c r="X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</row>
    <row r="22" spans="1:48" ht="13.05" customHeight="1" x14ac:dyDescent="0.3">
      <c r="A22" s="13"/>
      <c r="B22" s="34" t="str">
        <f t="shared" si="0"/>
        <v/>
      </c>
      <c r="C22" s="13"/>
      <c r="D22" s="13"/>
      <c r="E22" s="13"/>
      <c r="F22" s="13"/>
      <c r="G22" s="16"/>
      <c r="H22" s="13"/>
      <c r="I22" s="13"/>
      <c r="J22" s="13"/>
      <c r="K22" s="16"/>
      <c r="L22" s="13"/>
      <c r="M22" s="13"/>
      <c r="N22" s="13"/>
      <c r="O22" s="13"/>
      <c r="P22" s="16"/>
      <c r="Q22" s="13"/>
      <c r="R22" s="13"/>
      <c r="S22" s="13"/>
      <c r="T22" s="13"/>
      <c r="U22" s="13"/>
      <c r="V22" s="13"/>
      <c r="W22" s="13"/>
      <c r="X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</row>
    <row r="23" spans="1:48" ht="13.05" customHeight="1" x14ac:dyDescent="0.3">
      <c r="A23" s="13"/>
      <c r="B23" s="34" t="str">
        <f t="shared" si="0"/>
        <v/>
      </c>
      <c r="C23" s="13"/>
      <c r="D23" s="13"/>
      <c r="E23" s="13"/>
      <c r="F23" s="13"/>
      <c r="G23" s="16"/>
      <c r="H23" s="13"/>
      <c r="I23" s="13"/>
      <c r="J23" s="13"/>
      <c r="K23" s="16"/>
      <c r="L23" s="13"/>
      <c r="M23" s="13"/>
      <c r="N23" s="13"/>
      <c r="O23" s="13"/>
      <c r="P23" s="16"/>
      <c r="Q23" s="13"/>
      <c r="R23" s="13"/>
      <c r="S23" s="13"/>
      <c r="T23" s="13"/>
      <c r="U23" s="13"/>
      <c r="V23" s="13"/>
      <c r="W23" s="13"/>
      <c r="X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</row>
    <row r="24" spans="1:48" ht="13.05" customHeight="1" x14ac:dyDescent="0.3">
      <c r="A24" s="13"/>
      <c r="B24" s="34" t="str">
        <f t="shared" si="0"/>
        <v/>
      </c>
      <c r="C24" s="13"/>
      <c r="D24" s="13"/>
      <c r="E24" s="13"/>
      <c r="F24" s="13"/>
      <c r="G24" s="16"/>
      <c r="H24" s="13"/>
      <c r="I24" s="13"/>
      <c r="J24" s="13"/>
      <c r="K24" s="16"/>
      <c r="L24" s="13"/>
      <c r="M24" s="13"/>
      <c r="N24" s="13"/>
      <c r="O24" s="13"/>
      <c r="P24" s="16"/>
      <c r="Q24" s="13"/>
      <c r="R24" s="13"/>
      <c r="S24" s="13"/>
      <c r="T24" s="13"/>
      <c r="U24" s="13"/>
      <c r="V24" s="13"/>
      <c r="W24" s="13"/>
      <c r="X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</row>
    <row r="25" spans="1:48" ht="13.05" customHeight="1" x14ac:dyDescent="0.3">
      <c r="A25" s="13"/>
      <c r="B25" s="34" t="str">
        <f t="shared" si="0"/>
        <v/>
      </c>
      <c r="C25" s="13"/>
      <c r="D25" s="13"/>
      <c r="E25" s="13"/>
      <c r="F25" s="13"/>
      <c r="G25" s="16"/>
      <c r="H25" s="13"/>
      <c r="I25" s="13"/>
      <c r="J25" s="13"/>
      <c r="K25" s="16"/>
      <c r="L25" s="13"/>
      <c r="M25" s="13"/>
      <c r="N25" s="13"/>
      <c r="O25" s="13"/>
      <c r="P25" s="16"/>
      <c r="Q25" s="13"/>
      <c r="R25" s="13"/>
      <c r="S25" s="13"/>
      <c r="T25" s="13"/>
      <c r="U25" s="13"/>
      <c r="V25" s="13"/>
      <c r="W25" s="13"/>
      <c r="X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</row>
    <row r="26" spans="1:48" ht="13.05" customHeight="1" x14ac:dyDescent="0.3">
      <c r="A26" s="13"/>
      <c r="B26" s="34" t="str">
        <f t="shared" si="0"/>
        <v/>
      </c>
      <c r="C26" s="13"/>
      <c r="D26" s="13"/>
      <c r="E26" s="13"/>
      <c r="F26" s="13"/>
      <c r="G26" s="16"/>
      <c r="H26" s="13"/>
      <c r="I26" s="13"/>
      <c r="J26" s="13"/>
      <c r="K26" s="16"/>
      <c r="L26" s="13"/>
      <c r="M26" s="13"/>
      <c r="N26" s="13"/>
      <c r="O26" s="13"/>
      <c r="P26" s="16"/>
      <c r="Q26" s="13"/>
      <c r="R26" s="13"/>
      <c r="S26" s="13"/>
      <c r="T26" s="13"/>
      <c r="U26" s="13"/>
      <c r="V26" s="13"/>
      <c r="W26" s="13"/>
      <c r="X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</row>
    <row r="27" spans="1:48" ht="13.05" customHeight="1" x14ac:dyDescent="0.3">
      <c r="A27" s="13"/>
      <c r="B27" s="34" t="str">
        <f t="shared" si="0"/>
        <v/>
      </c>
      <c r="C27" s="13"/>
      <c r="D27" s="13"/>
      <c r="E27" s="13"/>
      <c r="F27" s="13"/>
      <c r="G27" s="16"/>
      <c r="H27" s="13"/>
      <c r="I27" s="13"/>
      <c r="J27" s="13"/>
      <c r="K27" s="16"/>
      <c r="L27" s="13"/>
      <c r="M27" s="13"/>
      <c r="N27" s="13"/>
      <c r="O27" s="13"/>
      <c r="P27" s="16"/>
      <c r="Q27" s="13"/>
      <c r="R27" s="13"/>
      <c r="S27" s="13"/>
      <c r="T27" s="13"/>
      <c r="U27" s="13"/>
      <c r="V27" s="13"/>
      <c r="W27" s="13"/>
      <c r="X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</row>
    <row r="28" spans="1:48" ht="13.05" customHeight="1" x14ac:dyDescent="0.3">
      <c r="A28" s="13"/>
      <c r="B28" s="34" t="str">
        <f t="shared" si="0"/>
        <v/>
      </c>
      <c r="C28" s="13"/>
      <c r="D28" s="13"/>
      <c r="E28" s="13"/>
      <c r="F28" s="13"/>
      <c r="G28" s="16"/>
      <c r="H28" s="13"/>
      <c r="I28" s="13"/>
      <c r="J28" s="13"/>
      <c r="K28" s="16"/>
      <c r="L28" s="13"/>
      <c r="M28" s="13"/>
      <c r="N28" s="13"/>
      <c r="O28" s="13"/>
      <c r="P28" s="16"/>
      <c r="Q28" s="13"/>
      <c r="R28" s="13"/>
      <c r="S28" s="13"/>
      <c r="T28" s="13"/>
      <c r="U28" s="13"/>
      <c r="V28" s="13"/>
      <c r="W28" s="13"/>
      <c r="X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</row>
    <row r="29" spans="1:48" ht="13.05" customHeight="1" x14ac:dyDescent="0.3">
      <c r="A29" s="13"/>
      <c r="B29" s="34" t="str">
        <f t="shared" si="0"/>
        <v/>
      </c>
      <c r="C29" s="13"/>
      <c r="D29" s="13"/>
      <c r="E29" s="13"/>
      <c r="F29" s="13"/>
      <c r="G29" s="16"/>
      <c r="H29" s="13"/>
      <c r="I29" s="13"/>
      <c r="J29" s="13"/>
      <c r="K29" s="16"/>
      <c r="L29" s="13"/>
      <c r="M29" s="13"/>
      <c r="N29" s="13"/>
      <c r="O29" s="13"/>
      <c r="P29" s="16"/>
      <c r="Q29" s="13"/>
      <c r="R29" s="13"/>
      <c r="S29" s="13"/>
      <c r="T29" s="13"/>
      <c r="U29" s="13"/>
      <c r="V29" s="13"/>
      <c r="W29" s="13"/>
      <c r="X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</row>
    <row r="30" spans="1:48" ht="13.05" customHeight="1" x14ac:dyDescent="0.3">
      <c r="A30" s="13"/>
      <c r="B30" s="34" t="str">
        <f t="shared" si="0"/>
        <v/>
      </c>
      <c r="C30" s="13"/>
      <c r="D30" s="13"/>
      <c r="E30" s="13"/>
      <c r="F30" s="13"/>
      <c r="G30" s="16"/>
      <c r="H30" s="13"/>
      <c r="I30" s="13"/>
      <c r="J30" s="13"/>
      <c r="K30" s="16"/>
      <c r="L30" s="13"/>
      <c r="M30" s="13"/>
      <c r="N30" s="13"/>
      <c r="O30" s="13"/>
      <c r="P30" s="16"/>
      <c r="Q30" s="13"/>
      <c r="R30" s="13"/>
      <c r="S30" s="13"/>
      <c r="T30" s="13"/>
      <c r="U30" s="13"/>
      <c r="V30" s="13"/>
      <c r="W30" s="13"/>
      <c r="X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</row>
    <row r="31" spans="1:48" ht="13.05" customHeight="1" x14ac:dyDescent="0.3">
      <c r="A31" s="13"/>
      <c r="B31" s="34" t="str">
        <f t="shared" si="0"/>
        <v/>
      </c>
      <c r="C31" s="13"/>
      <c r="D31" s="13"/>
      <c r="E31" s="13"/>
      <c r="F31" s="13"/>
      <c r="G31" s="16"/>
      <c r="H31" s="13"/>
      <c r="I31" s="13"/>
      <c r="J31" s="13"/>
      <c r="K31" s="16"/>
      <c r="L31" s="13"/>
      <c r="M31" s="13"/>
      <c r="N31" s="13"/>
      <c r="O31" s="13"/>
      <c r="P31" s="16"/>
      <c r="Q31" s="13"/>
      <c r="R31" s="13"/>
      <c r="S31" s="13"/>
      <c r="T31" s="13"/>
      <c r="U31" s="13"/>
      <c r="V31" s="13"/>
      <c r="W31" s="13"/>
      <c r="X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</row>
    <row r="32" spans="1:48" ht="13.05" customHeight="1" x14ac:dyDescent="0.3">
      <c r="A32" s="13"/>
      <c r="B32" s="34" t="str">
        <f t="shared" si="0"/>
        <v/>
      </c>
      <c r="C32" s="13"/>
      <c r="D32" s="13"/>
      <c r="E32" s="13"/>
      <c r="F32" s="13"/>
      <c r="G32" s="16"/>
      <c r="H32" s="13"/>
      <c r="I32" s="13"/>
      <c r="J32" s="13"/>
      <c r="K32" s="16"/>
      <c r="L32" s="13"/>
      <c r="M32" s="13"/>
      <c r="N32" s="13"/>
      <c r="O32" s="13"/>
      <c r="P32" s="16"/>
      <c r="Q32" s="13"/>
      <c r="R32" s="13"/>
      <c r="S32" s="13"/>
      <c r="T32" s="13"/>
      <c r="U32" s="13"/>
      <c r="V32" s="13"/>
      <c r="W32" s="13"/>
      <c r="X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</row>
    <row r="33" spans="1:48" ht="13.05" customHeight="1" x14ac:dyDescent="0.3">
      <c r="A33" s="13"/>
      <c r="B33" s="34" t="str">
        <f t="shared" si="0"/>
        <v/>
      </c>
      <c r="C33" s="13"/>
      <c r="D33" s="13"/>
      <c r="E33" s="13"/>
      <c r="F33" s="13"/>
      <c r="G33" s="16"/>
      <c r="H33" s="13"/>
      <c r="I33" s="13"/>
      <c r="J33" s="13"/>
      <c r="K33" s="16"/>
      <c r="L33" s="13"/>
      <c r="M33" s="13"/>
      <c r="N33" s="13"/>
      <c r="O33" s="13"/>
      <c r="P33" s="16"/>
      <c r="Q33" s="13"/>
      <c r="R33" s="13"/>
      <c r="S33" s="13"/>
      <c r="T33" s="13"/>
      <c r="U33" s="13"/>
      <c r="V33" s="13"/>
      <c r="W33" s="13"/>
      <c r="X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</row>
    <row r="34" spans="1:48" ht="13.05" customHeight="1" x14ac:dyDescent="0.3">
      <c r="A34" s="13"/>
      <c r="B34" s="34" t="str">
        <f t="shared" si="0"/>
        <v/>
      </c>
      <c r="C34" s="13"/>
      <c r="D34" s="13"/>
      <c r="E34" s="13"/>
      <c r="F34" s="13"/>
      <c r="G34" s="16"/>
      <c r="H34" s="13"/>
      <c r="I34" s="13"/>
      <c r="J34" s="13"/>
      <c r="K34" s="16"/>
      <c r="L34" s="13"/>
      <c r="M34" s="13"/>
      <c r="N34" s="13"/>
      <c r="O34" s="13"/>
      <c r="P34" s="16"/>
      <c r="Q34" s="13"/>
      <c r="R34" s="13"/>
      <c r="S34" s="13"/>
      <c r="T34" s="13"/>
      <c r="U34" s="13"/>
      <c r="V34" s="13"/>
      <c r="W34" s="13"/>
      <c r="X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</row>
    <row r="35" spans="1:48" ht="13.05" customHeight="1" x14ac:dyDescent="0.3">
      <c r="A35" s="13"/>
      <c r="B35" s="34" t="str">
        <f t="shared" si="0"/>
        <v/>
      </c>
      <c r="C35" s="13"/>
      <c r="D35" s="13"/>
      <c r="E35" s="13"/>
      <c r="F35" s="13"/>
      <c r="G35" s="16"/>
      <c r="H35" s="13"/>
      <c r="I35" s="13"/>
      <c r="J35" s="13"/>
      <c r="K35" s="16"/>
      <c r="L35" s="13"/>
      <c r="M35" s="13"/>
      <c r="N35" s="13"/>
      <c r="O35" s="13"/>
      <c r="P35" s="16"/>
      <c r="Q35" s="13"/>
      <c r="R35" s="13"/>
      <c r="S35" s="13"/>
      <c r="T35" s="13"/>
      <c r="U35" s="13"/>
      <c r="V35" s="13"/>
      <c r="W35" s="13"/>
      <c r="X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</row>
    <row r="36" spans="1:48" ht="13.05" customHeight="1" x14ac:dyDescent="0.3">
      <c r="A36" s="13"/>
      <c r="B36" s="34" t="str">
        <f t="shared" si="0"/>
        <v/>
      </c>
      <c r="C36" s="13"/>
      <c r="D36" s="13"/>
      <c r="E36" s="13"/>
      <c r="F36" s="13"/>
      <c r="G36" s="16"/>
      <c r="H36" s="13"/>
      <c r="I36" s="13"/>
      <c r="J36" s="13"/>
      <c r="K36" s="16"/>
      <c r="L36" s="13"/>
      <c r="M36" s="13"/>
      <c r="N36" s="13"/>
      <c r="O36" s="13"/>
      <c r="P36" s="16"/>
      <c r="Q36" s="13"/>
      <c r="R36" s="13"/>
      <c r="S36" s="13"/>
      <c r="T36" s="13"/>
      <c r="U36" s="13"/>
      <c r="V36" s="13"/>
      <c r="W36" s="13"/>
      <c r="X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</row>
    <row r="37" spans="1:48" ht="13.05" customHeight="1" x14ac:dyDescent="0.3">
      <c r="A37" s="13"/>
      <c r="B37" s="34" t="str">
        <f t="shared" si="0"/>
        <v/>
      </c>
      <c r="C37" s="13"/>
      <c r="D37" s="13"/>
      <c r="E37" s="13"/>
      <c r="F37" s="13"/>
      <c r="G37" s="16"/>
      <c r="H37" s="13"/>
      <c r="I37" s="13"/>
      <c r="J37" s="13"/>
      <c r="K37" s="16"/>
      <c r="L37" s="13"/>
      <c r="M37" s="13"/>
      <c r="N37" s="13"/>
      <c r="O37" s="13"/>
      <c r="P37" s="16"/>
      <c r="Q37" s="13"/>
      <c r="R37" s="13"/>
      <c r="S37" s="13"/>
      <c r="T37" s="13"/>
      <c r="U37" s="13"/>
      <c r="V37" s="13"/>
      <c r="W37" s="13"/>
      <c r="X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</row>
    <row r="38" spans="1:48" ht="13.05" customHeight="1" x14ac:dyDescent="0.3">
      <c r="A38" s="13"/>
      <c r="B38" s="34" t="str">
        <f t="shared" ref="B38:B69" si="1">IF(COUNTA(C38,D38,E38,H38,I38)=0,"","I"&amp;TEXT(ROW()-5,"000"))</f>
        <v/>
      </c>
      <c r="C38" s="13"/>
      <c r="D38" s="13"/>
      <c r="E38" s="13"/>
      <c r="F38" s="13"/>
      <c r="G38" s="16"/>
      <c r="H38" s="13"/>
      <c r="I38" s="13"/>
      <c r="J38" s="13"/>
      <c r="K38" s="16"/>
      <c r="L38" s="13"/>
      <c r="M38" s="13"/>
      <c r="N38" s="13"/>
      <c r="O38" s="13"/>
      <c r="P38" s="16"/>
      <c r="Q38" s="13"/>
      <c r="R38" s="13"/>
      <c r="S38" s="13"/>
      <c r="T38" s="13"/>
      <c r="U38" s="13"/>
      <c r="V38" s="13"/>
      <c r="W38" s="13"/>
      <c r="X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</row>
    <row r="39" spans="1:48" ht="13.05" customHeight="1" x14ac:dyDescent="0.3">
      <c r="A39" s="13"/>
      <c r="B39" s="34" t="str">
        <f t="shared" si="1"/>
        <v/>
      </c>
      <c r="C39" s="13"/>
      <c r="D39" s="13"/>
      <c r="E39" s="13"/>
      <c r="F39" s="13"/>
      <c r="G39" s="16"/>
      <c r="H39" s="13"/>
      <c r="I39" s="13"/>
      <c r="J39" s="13"/>
      <c r="K39" s="16"/>
      <c r="L39" s="13"/>
      <c r="M39" s="13"/>
      <c r="N39" s="13"/>
      <c r="O39" s="13"/>
      <c r="P39" s="16"/>
      <c r="Q39" s="13"/>
      <c r="R39" s="13"/>
      <c r="S39" s="13"/>
      <c r="T39" s="13"/>
      <c r="U39" s="13"/>
      <c r="V39" s="13"/>
      <c r="W39" s="13"/>
      <c r="X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</row>
    <row r="40" spans="1:48" ht="13.05" customHeight="1" x14ac:dyDescent="0.3">
      <c r="A40" s="13"/>
      <c r="B40" s="34" t="str">
        <f t="shared" si="1"/>
        <v/>
      </c>
      <c r="C40" s="13"/>
      <c r="D40" s="13"/>
      <c r="E40" s="13"/>
      <c r="F40" s="13"/>
      <c r="G40" s="16"/>
      <c r="H40" s="13"/>
      <c r="I40" s="13"/>
      <c r="J40" s="13"/>
      <c r="K40" s="16"/>
      <c r="L40" s="13"/>
      <c r="M40" s="13"/>
      <c r="N40" s="13"/>
      <c r="O40" s="13"/>
      <c r="P40" s="16"/>
      <c r="Q40" s="13"/>
      <c r="R40" s="13"/>
      <c r="S40" s="13"/>
      <c r="T40" s="13"/>
      <c r="U40" s="13"/>
      <c r="V40" s="13"/>
      <c r="W40" s="13"/>
      <c r="X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</row>
    <row r="41" spans="1:48" ht="13.05" customHeight="1" x14ac:dyDescent="0.3">
      <c r="A41" s="13"/>
      <c r="B41" s="34" t="str">
        <f t="shared" si="1"/>
        <v/>
      </c>
      <c r="C41" s="13"/>
      <c r="D41" s="13"/>
      <c r="E41" s="13"/>
      <c r="F41" s="13"/>
      <c r="G41" s="16"/>
      <c r="H41" s="13"/>
      <c r="I41" s="13"/>
      <c r="J41" s="13"/>
      <c r="K41" s="16"/>
      <c r="L41" s="13"/>
      <c r="M41" s="13"/>
      <c r="N41" s="13"/>
      <c r="O41" s="13"/>
      <c r="P41" s="16"/>
      <c r="Q41" s="13"/>
      <c r="R41" s="13"/>
      <c r="S41" s="13"/>
      <c r="T41" s="13"/>
      <c r="U41" s="13"/>
      <c r="V41" s="13"/>
      <c r="W41" s="13"/>
      <c r="X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</row>
    <row r="42" spans="1:48" ht="13.05" customHeight="1" x14ac:dyDescent="0.3">
      <c r="A42" s="13"/>
      <c r="B42" s="34" t="str">
        <f t="shared" si="1"/>
        <v/>
      </c>
      <c r="C42" s="13"/>
      <c r="D42" s="13"/>
      <c r="E42" s="13"/>
      <c r="F42" s="13"/>
      <c r="G42" s="16"/>
      <c r="H42" s="13"/>
      <c r="I42" s="13"/>
      <c r="J42" s="13"/>
      <c r="K42" s="16"/>
      <c r="L42" s="13"/>
      <c r="M42" s="13"/>
      <c r="N42" s="13"/>
      <c r="O42" s="13"/>
      <c r="P42" s="16"/>
      <c r="Q42" s="13"/>
      <c r="R42" s="13"/>
      <c r="S42" s="13"/>
      <c r="T42" s="13"/>
      <c r="U42" s="13"/>
      <c r="V42" s="13"/>
      <c r="W42" s="13"/>
      <c r="X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</row>
    <row r="43" spans="1:48" ht="13.05" customHeight="1" x14ac:dyDescent="0.3">
      <c r="A43" s="13"/>
      <c r="B43" s="34" t="str">
        <f t="shared" si="1"/>
        <v/>
      </c>
      <c r="C43" s="13"/>
      <c r="D43" s="13"/>
      <c r="E43" s="13"/>
      <c r="F43" s="13"/>
      <c r="G43" s="16"/>
      <c r="H43" s="13"/>
      <c r="I43" s="13"/>
      <c r="J43" s="13"/>
      <c r="K43" s="16"/>
      <c r="L43" s="13"/>
      <c r="M43" s="13"/>
      <c r="N43" s="13"/>
      <c r="O43" s="13"/>
      <c r="P43" s="16"/>
      <c r="Q43" s="13"/>
      <c r="R43" s="13"/>
      <c r="S43" s="13"/>
      <c r="T43" s="13"/>
      <c r="U43" s="13"/>
      <c r="V43" s="13"/>
      <c r="W43" s="13"/>
      <c r="X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</row>
    <row r="44" spans="1:48" ht="13.05" customHeight="1" x14ac:dyDescent="0.3">
      <c r="A44" s="13"/>
      <c r="B44" s="34" t="str">
        <f t="shared" si="1"/>
        <v/>
      </c>
      <c r="C44" s="13"/>
      <c r="D44" s="13"/>
      <c r="E44" s="13"/>
      <c r="F44" s="13"/>
      <c r="G44" s="16"/>
      <c r="H44" s="13"/>
      <c r="I44" s="13"/>
      <c r="J44" s="13"/>
      <c r="K44" s="16"/>
      <c r="L44" s="13"/>
      <c r="M44" s="13"/>
      <c r="N44" s="13"/>
      <c r="O44" s="13"/>
      <c r="P44" s="16"/>
      <c r="Q44" s="13"/>
      <c r="R44" s="13"/>
      <c r="S44" s="13"/>
      <c r="T44" s="13"/>
      <c r="U44" s="13"/>
      <c r="V44" s="13"/>
      <c r="W44" s="13"/>
      <c r="X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</row>
    <row r="45" spans="1:48" ht="13.05" customHeight="1" x14ac:dyDescent="0.3">
      <c r="A45" s="13"/>
      <c r="B45" s="34" t="str">
        <f t="shared" si="1"/>
        <v/>
      </c>
      <c r="C45" s="13"/>
      <c r="D45" s="13"/>
      <c r="E45" s="13"/>
      <c r="F45" s="13"/>
      <c r="G45" s="16"/>
      <c r="H45" s="13"/>
      <c r="I45" s="13"/>
      <c r="J45" s="13"/>
      <c r="K45" s="16"/>
      <c r="L45" s="13"/>
      <c r="M45" s="13"/>
      <c r="N45" s="13"/>
      <c r="O45" s="13"/>
      <c r="P45" s="16"/>
      <c r="Q45" s="13"/>
      <c r="R45" s="13"/>
      <c r="S45" s="13"/>
      <c r="T45" s="13"/>
      <c r="U45" s="13"/>
      <c r="V45" s="13"/>
      <c r="W45" s="13"/>
      <c r="X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</row>
    <row r="46" spans="1:48" ht="13.05" customHeight="1" x14ac:dyDescent="0.3">
      <c r="A46" s="13"/>
      <c r="B46" s="34" t="str">
        <f t="shared" si="1"/>
        <v/>
      </c>
      <c r="C46" s="13"/>
      <c r="D46" s="13"/>
      <c r="E46" s="13"/>
      <c r="F46" s="13"/>
      <c r="G46" s="16"/>
      <c r="H46" s="13"/>
      <c r="I46" s="13"/>
      <c r="J46" s="13"/>
      <c r="K46" s="16"/>
      <c r="L46" s="13"/>
      <c r="M46" s="13"/>
      <c r="N46" s="13"/>
      <c r="O46" s="13"/>
      <c r="P46" s="16"/>
      <c r="Q46" s="13"/>
      <c r="R46" s="13"/>
      <c r="S46" s="13"/>
      <c r="T46" s="13"/>
      <c r="U46" s="13"/>
      <c r="V46" s="13"/>
      <c r="W46" s="13"/>
      <c r="X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</row>
    <row r="47" spans="1:48" ht="13.05" customHeight="1" x14ac:dyDescent="0.3">
      <c r="A47" s="13"/>
      <c r="B47" s="34" t="str">
        <f t="shared" si="1"/>
        <v/>
      </c>
      <c r="C47" s="13"/>
      <c r="D47" s="13"/>
      <c r="E47" s="13"/>
      <c r="F47" s="13"/>
      <c r="G47" s="16"/>
      <c r="H47" s="13"/>
      <c r="I47" s="13"/>
      <c r="J47" s="13"/>
      <c r="K47" s="16"/>
      <c r="L47" s="13"/>
      <c r="M47" s="13"/>
      <c r="N47" s="13"/>
      <c r="O47" s="13"/>
      <c r="P47" s="16"/>
      <c r="Q47" s="13"/>
      <c r="R47" s="13"/>
      <c r="S47" s="13"/>
      <c r="T47" s="13"/>
      <c r="U47" s="13"/>
      <c r="V47" s="13"/>
      <c r="W47" s="13"/>
      <c r="X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</row>
    <row r="48" spans="1:48" ht="13.05" customHeight="1" x14ac:dyDescent="0.3">
      <c r="A48" s="13"/>
      <c r="B48" s="34" t="str">
        <f t="shared" si="1"/>
        <v/>
      </c>
      <c r="C48" s="13"/>
      <c r="D48" s="13"/>
      <c r="E48" s="13"/>
      <c r="F48" s="13"/>
      <c r="G48" s="16"/>
      <c r="H48" s="13"/>
      <c r="I48" s="13"/>
      <c r="J48" s="13"/>
      <c r="K48" s="16"/>
      <c r="L48" s="13"/>
      <c r="M48" s="13"/>
      <c r="N48" s="13"/>
      <c r="O48" s="13"/>
      <c r="P48" s="16"/>
      <c r="Q48" s="13"/>
      <c r="R48" s="13"/>
      <c r="S48" s="13"/>
      <c r="T48" s="13"/>
      <c r="U48" s="13"/>
      <c r="V48" s="13"/>
      <c r="W48" s="13"/>
      <c r="X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</row>
    <row r="49" spans="1:48" ht="13.05" customHeight="1" x14ac:dyDescent="0.3">
      <c r="A49" s="13"/>
      <c r="B49" s="34" t="str">
        <f t="shared" si="1"/>
        <v/>
      </c>
      <c r="C49" s="13"/>
      <c r="D49" s="13"/>
      <c r="E49" s="13"/>
      <c r="F49" s="13"/>
      <c r="G49" s="16"/>
      <c r="H49" s="13"/>
      <c r="I49" s="13"/>
      <c r="J49" s="13"/>
      <c r="K49" s="16"/>
      <c r="L49" s="13"/>
      <c r="M49" s="13"/>
      <c r="N49" s="13"/>
      <c r="O49" s="13"/>
      <c r="P49" s="16"/>
      <c r="Q49" s="13"/>
      <c r="R49" s="13"/>
      <c r="S49" s="13"/>
      <c r="T49" s="13"/>
      <c r="U49" s="13"/>
      <c r="V49" s="13"/>
      <c r="W49" s="13"/>
      <c r="X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</row>
    <row r="50" spans="1:48" ht="13.05" customHeight="1" x14ac:dyDescent="0.3">
      <c r="A50" s="13"/>
      <c r="B50" s="34" t="str">
        <f t="shared" si="1"/>
        <v/>
      </c>
      <c r="C50" s="13"/>
      <c r="D50" s="13"/>
      <c r="E50" s="13"/>
      <c r="F50" s="13"/>
      <c r="G50" s="16"/>
      <c r="H50" s="13"/>
      <c r="I50" s="13"/>
      <c r="J50" s="13"/>
      <c r="K50" s="16"/>
      <c r="L50" s="13"/>
      <c r="M50" s="13"/>
      <c r="N50" s="13"/>
      <c r="O50" s="13"/>
      <c r="P50" s="16"/>
      <c r="Q50" s="13"/>
      <c r="R50" s="13"/>
      <c r="S50" s="13"/>
      <c r="T50" s="13"/>
      <c r="U50" s="13"/>
      <c r="V50" s="13"/>
      <c r="W50" s="13"/>
      <c r="X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</row>
    <row r="51" spans="1:48" ht="13.05" customHeight="1" x14ac:dyDescent="0.3">
      <c r="A51" s="13"/>
      <c r="B51" s="34" t="str">
        <f t="shared" si="1"/>
        <v/>
      </c>
      <c r="C51" s="13"/>
      <c r="D51" s="13"/>
      <c r="E51" s="13"/>
      <c r="F51" s="13"/>
      <c r="G51" s="16"/>
      <c r="H51" s="13"/>
      <c r="I51" s="13"/>
      <c r="J51" s="13"/>
      <c r="K51" s="16"/>
      <c r="L51" s="13"/>
      <c r="M51" s="13"/>
      <c r="N51" s="13"/>
      <c r="O51" s="13"/>
      <c r="P51" s="16"/>
      <c r="Q51" s="13"/>
      <c r="R51" s="13"/>
      <c r="S51" s="13"/>
      <c r="T51" s="13"/>
      <c r="U51" s="13"/>
      <c r="V51" s="13"/>
      <c r="W51" s="13"/>
      <c r="X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</row>
    <row r="52" spans="1:48" ht="13.05" customHeight="1" x14ac:dyDescent="0.3">
      <c r="A52" s="13"/>
      <c r="B52" s="34" t="str">
        <f t="shared" si="1"/>
        <v/>
      </c>
      <c r="C52" s="13"/>
      <c r="D52" s="13"/>
      <c r="E52" s="13"/>
      <c r="F52" s="13"/>
      <c r="G52" s="16"/>
      <c r="H52" s="13"/>
      <c r="I52" s="13"/>
      <c r="J52" s="13"/>
      <c r="K52" s="16"/>
      <c r="L52" s="13"/>
      <c r="M52" s="13"/>
      <c r="N52" s="13"/>
      <c r="O52" s="13"/>
      <c r="P52" s="16"/>
      <c r="Q52" s="13"/>
      <c r="R52" s="13"/>
      <c r="S52" s="13"/>
      <c r="T52" s="13"/>
      <c r="U52" s="13"/>
      <c r="V52" s="13"/>
      <c r="W52" s="13"/>
      <c r="X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</row>
    <row r="53" spans="1:48" ht="13.05" customHeight="1" x14ac:dyDescent="0.3">
      <c r="A53" s="13"/>
      <c r="B53" s="34" t="str">
        <f t="shared" si="1"/>
        <v/>
      </c>
      <c r="C53" s="13"/>
      <c r="D53" s="13"/>
      <c r="E53" s="13"/>
      <c r="F53" s="13"/>
      <c r="G53" s="16"/>
      <c r="H53" s="13"/>
      <c r="I53" s="13"/>
      <c r="J53" s="13"/>
      <c r="K53" s="16"/>
      <c r="L53" s="13"/>
      <c r="M53" s="13"/>
      <c r="N53" s="13"/>
      <c r="O53" s="13"/>
      <c r="P53" s="16"/>
      <c r="Q53" s="13"/>
      <c r="R53" s="13"/>
      <c r="S53" s="13"/>
      <c r="T53" s="13"/>
      <c r="U53" s="13"/>
      <c r="V53" s="13"/>
      <c r="W53" s="13"/>
      <c r="X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</row>
    <row r="54" spans="1:48" ht="13.05" customHeight="1" x14ac:dyDescent="0.3">
      <c r="A54" s="13"/>
      <c r="B54" s="34" t="str">
        <f t="shared" si="1"/>
        <v/>
      </c>
      <c r="C54" s="13"/>
      <c r="D54" s="13"/>
      <c r="E54" s="13"/>
      <c r="F54" s="13"/>
      <c r="G54" s="16"/>
      <c r="H54" s="13"/>
      <c r="I54" s="13"/>
      <c r="J54" s="13"/>
      <c r="K54" s="16"/>
      <c r="L54" s="13"/>
      <c r="M54" s="13"/>
      <c r="N54" s="13"/>
      <c r="O54" s="13"/>
      <c r="P54" s="16"/>
      <c r="Q54" s="13"/>
      <c r="R54" s="13"/>
      <c r="S54" s="13"/>
      <c r="T54" s="13"/>
      <c r="U54" s="13"/>
      <c r="V54" s="13"/>
      <c r="W54" s="13"/>
      <c r="X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</row>
    <row r="55" spans="1:48" ht="13.05" customHeight="1" x14ac:dyDescent="0.3">
      <c r="A55" s="13"/>
      <c r="B55" s="34" t="str">
        <f t="shared" si="1"/>
        <v/>
      </c>
      <c r="C55" s="13"/>
      <c r="D55" s="13"/>
      <c r="E55" s="13"/>
      <c r="F55" s="13"/>
      <c r="G55" s="16"/>
      <c r="H55" s="13"/>
      <c r="I55" s="13"/>
      <c r="J55" s="13"/>
      <c r="K55" s="16"/>
      <c r="L55" s="13"/>
      <c r="M55" s="13"/>
      <c r="N55" s="13"/>
      <c r="O55" s="13"/>
      <c r="P55" s="16"/>
      <c r="Q55" s="13"/>
      <c r="R55" s="13"/>
      <c r="S55" s="13"/>
      <c r="T55" s="13"/>
      <c r="U55" s="13"/>
      <c r="V55" s="13"/>
      <c r="W55" s="13"/>
      <c r="X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</row>
    <row r="56" spans="1:48" ht="13.05" customHeight="1" x14ac:dyDescent="0.3">
      <c r="A56" s="13"/>
      <c r="B56" s="34" t="str">
        <f t="shared" si="1"/>
        <v/>
      </c>
      <c r="C56" s="13"/>
      <c r="D56" s="13"/>
      <c r="E56" s="13"/>
      <c r="F56" s="13"/>
      <c r="G56" s="16"/>
      <c r="H56" s="13"/>
      <c r="I56" s="13"/>
      <c r="J56" s="13"/>
      <c r="K56" s="16"/>
      <c r="L56" s="13"/>
      <c r="M56" s="13"/>
      <c r="N56" s="13"/>
      <c r="O56" s="13"/>
      <c r="P56" s="16"/>
      <c r="Q56" s="13"/>
      <c r="R56" s="13"/>
      <c r="S56" s="13"/>
      <c r="T56" s="13"/>
      <c r="U56" s="13"/>
      <c r="V56" s="13"/>
      <c r="W56" s="13"/>
      <c r="X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</row>
    <row r="57" spans="1:48" ht="13.05" customHeight="1" x14ac:dyDescent="0.3">
      <c r="A57" s="13"/>
      <c r="B57" s="34" t="str">
        <f t="shared" si="1"/>
        <v/>
      </c>
      <c r="C57" s="13"/>
      <c r="D57" s="13"/>
      <c r="E57" s="13"/>
      <c r="F57" s="13"/>
      <c r="G57" s="16"/>
      <c r="H57" s="13"/>
      <c r="I57" s="13"/>
      <c r="J57" s="13"/>
      <c r="K57" s="16"/>
      <c r="L57" s="13"/>
      <c r="M57" s="13"/>
      <c r="N57" s="13"/>
      <c r="O57" s="13"/>
      <c r="P57" s="16"/>
      <c r="Q57" s="13"/>
      <c r="R57" s="13"/>
      <c r="S57" s="13"/>
      <c r="T57" s="13"/>
      <c r="U57" s="13"/>
      <c r="V57" s="13"/>
      <c r="W57" s="13"/>
      <c r="X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</row>
    <row r="58" spans="1:48" ht="13.05" customHeight="1" x14ac:dyDescent="0.3">
      <c r="A58" s="13"/>
      <c r="B58" s="34" t="str">
        <f t="shared" si="1"/>
        <v/>
      </c>
      <c r="C58" s="13"/>
      <c r="D58" s="13"/>
      <c r="E58" s="13"/>
      <c r="F58" s="13"/>
      <c r="G58" s="16"/>
      <c r="H58" s="13"/>
      <c r="I58" s="13"/>
      <c r="J58" s="13"/>
      <c r="K58" s="16"/>
      <c r="L58" s="13"/>
      <c r="M58" s="13"/>
      <c r="N58" s="13"/>
      <c r="O58" s="13"/>
      <c r="P58" s="16"/>
      <c r="Q58" s="13"/>
      <c r="R58" s="13"/>
      <c r="S58" s="13"/>
      <c r="T58" s="13"/>
      <c r="U58" s="13"/>
      <c r="V58" s="13"/>
      <c r="W58" s="13"/>
      <c r="X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</row>
    <row r="59" spans="1:48" ht="13.05" customHeight="1" x14ac:dyDescent="0.3">
      <c r="A59" s="13"/>
      <c r="B59" s="34" t="str">
        <f t="shared" si="1"/>
        <v/>
      </c>
      <c r="C59" s="13"/>
      <c r="D59" s="13"/>
      <c r="E59" s="13"/>
      <c r="F59" s="13"/>
      <c r="G59" s="16"/>
      <c r="H59" s="13"/>
      <c r="I59" s="13"/>
      <c r="J59" s="13"/>
      <c r="K59" s="16"/>
      <c r="L59" s="13"/>
      <c r="M59" s="13"/>
      <c r="N59" s="13"/>
      <c r="O59" s="13"/>
      <c r="P59" s="16"/>
      <c r="Q59" s="13"/>
      <c r="R59" s="13"/>
      <c r="S59" s="13"/>
      <c r="T59" s="13"/>
      <c r="U59" s="13"/>
      <c r="V59" s="13"/>
      <c r="W59" s="13"/>
      <c r="X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</row>
    <row r="60" spans="1:48" ht="13.05" customHeight="1" x14ac:dyDescent="0.3">
      <c r="A60" s="13"/>
      <c r="B60" s="34" t="str">
        <f t="shared" si="1"/>
        <v/>
      </c>
      <c r="C60" s="13"/>
      <c r="D60" s="13"/>
      <c r="E60" s="13"/>
      <c r="F60" s="13"/>
      <c r="G60" s="16"/>
      <c r="H60" s="13"/>
      <c r="I60" s="13"/>
      <c r="J60" s="13"/>
      <c r="K60" s="16"/>
      <c r="L60" s="13"/>
      <c r="M60" s="13"/>
      <c r="N60" s="13"/>
      <c r="O60" s="13"/>
      <c r="P60" s="16"/>
      <c r="Q60" s="13"/>
      <c r="R60" s="13"/>
      <c r="S60" s="13"/>
      <c r="T60" s="13"/>
      <c r="U60" s="13"/>
      <c r="V60" s="13"/>
      <c r="W60" s="13"/>
      <c r="X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</row>
    <row r="61" spans="1:48" ht="13.05" customHeight="1" x14ac:dyDescent="0.3">
      <c r="A61" s="13"/>
      <c r="B61" s="34" t="str">
        <f t="shared" si="1"/>
        <v/>
      </c>
      <c r="C61" s="13"/>
      <c r="D61" s="13"/>
      <c r="E61" s="13"/>
      <c r="F61" s="13"/>
      <c r="G61" s="16"/>
      <c r="H61" s="13"/>
      <c r="I61" s="13"/>
      <c r="J61" s="13"/>
      <c r="K61" s="16"/>
      <c r="L61" s="13"/>
      <c r="M61" s="13"/>
      <c r="N61" s="13"/>
      <c r="O61" s="13"/>
      <c r="P61" s="16"/>
      <c r="Q61" s="13"/>
      <c r="R61" s="13"/>
      <c r="S61" s="13"/>
      <c r="T61" s="13"/>
      <c r="U61" s="13"/>
      <c r="V61" s="13"/>
      <c r="W61" s="13"/>
      <c r="X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</row>
    <row r="62" spans="1:48" ht="13.05" customHeight="1" x14ac:dyDescent="0.3">
      <c r="A62" s="13"/>
      <c r="B62" s="34" t="str">
        <f t="shared" si="1"/>
        <v/>
      </c>
      <c r="C62" s="13"/>
      <c r="D62" s="13"/>
      <c r="E62" s="13"/>
      <c r="F62" s="13"/>
      <c r="G62" s="16"/>
      <c r="H62" s="13"/>
      <c r="I62" s="13"/>
      <c r="J62" s="13"/>
      <c r="K62" s="16"/>
      <c r="L62" s="13"/>
      <c r="M62" s="13"/>
      <c r="N62" s="13"/>
      <c r="O62" s="13"/>
      <c r="P62" s="16"/>
      <c r="Q62" s="13"/>
      <c r="R62" s="13"/>
      <c r="S62" s="13"/>
      <c r="T62" s="13"/>
      <c r="U62" s="13"/>
      <c r="V62" s="13"/>
      <c r="W62" s="13"/>
      <c r="X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</row>
    <row r="63" spans="1:48" ht="13.05" customHeight="1" x14ac:dyDescent="0.3">
      <c r="A63" s="13"/>
      <c r="B63" s="34" t="str">
        <f t="shared" si="1"/>
        <v/>
      </c>
      <c r="C63" s="13"/>
      <c r="D63" s="13"/>
      <c r="E63" s="13"/>
      <c r="F63" s="13"/>
      <c r="G63" s="16"/>
      <c r="H63" s="13"/>
      <c r="I63" s="13"/>
      <c r="J63" s="13"/>
      <c r="K63" s="16"/>
      <c r="L63" s="13"/>
      <c r="M63" s="13"/>
      <c r="N63" s="13"/>
      <c r="O63" s="13"/>
      <c r="P63" s="16"/>
      <c r="Q63" s="13"/>
      <c r="R63" s="13"/>
      <c r="S63" s="13"/>
      <c r="T63" s="13"/>
      <c r="U63" s="13"/>
      <c r="V63" s="13"/>
      <c r="W63" s="13"/>
      <c r="X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</row>
    <row r="64" spans="1:48" ht="13.05" customHeight="1" x14ac:dyDescent="0.3">
      <c r="A64" s="13"/>
      <c r="B64" s="34" t="str">
        <f t="shared" si="1"/>
        <v/>
      </c>
      <c r="C64" s="13"/>
      <c r="D64" s="13"/>
      <c r="E64" s="13"/>
      <c r="F64" s="13"/>
      <c r="G64" s="16"/>
      <c r="H64" s="13"/>
      <c r="I64" s="13"/>
      <c r="J64" s="13"/>
      <c r="K64" s="16"/>
      <c r="L64" s="13"/>
      <c r="M64" s="13"/>
      <c r="N64" s="13"/>
      <c r="O64" s="13"/>
      <c r="P64" s="16"/>
      <c r="Q64" s="13"/>
      <c r="R64" s="13"/>
      <c r="S64" s="13"/>
      <c r="T64" s="13"/>
      <c r="U64" s="13"/>
      <c r="V64" s="13"/>
      <c r="W64" s="13"/>
      <c r="X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</row>
    <row r="65" spans="1:48" ht="13.05" customHeight="1" x14ac:dyDescent="0.3">
      <c r="A65" s="13"/>
      <c r="B65" s="34" t="str">
        <f t="shared" si="1"/>
        <v/>
      </c>
      <c r="C65" s="13"/>
      <c r="D65" s="13"/>
      <c r="E65" s="13"/>
      <c r="F65" s="13"/>
      <c r="G65" s="16"/>
      <c r="H65" s="13"/>
      <c r="I65" s="13"/>
      <c r="J65" s="13"/>
      <c r="K65" s="16"/>
      <c r="L65" s="13"/>
      <c r="M65" s="13"/>
      <c r="N65" s="13"/>
      <c r="O65" s="13"/>
      <c r="P65" s="16"/>
      <c r="Q65" s="13"/>
      <c r="R65" s="13"/>
      <c r="S65" s="13"/>
      <c r="T65" s="13"/>
      <c r="U65" s="13"/>
      <c r="V65" s="13"/>
      <c r="W65" s="13"/>
      <c r="X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</row>
    <row r="66" spans="1:48" ht="13.05" customHeight="1" x14ac:dyDescent="0.3">
      <c r="A66" s="13"/>
      <c r="B66" s="34" t="str">
        <f t="shared" si="1"/>
        <v/>
      </c>
      <c r="C66" s="13"/>
      <c r="D66" s="13"/>
      <c r="E66" s="13"/>
      <c r="F66" s="13"/>
      <c r="G66" s="16"/>
      <c r="H66" s="13"/>
      <c r="I66" s="13"/>
      <c r="J66" s="13"/>
      <c r="K66" s="16"/>
      <c r="L66" s="13"/>
      <c r="M66" s="13"/>
      <c r="N66" s="13"/>
      <c r="O66" s="13"/>
      <c r="P66" s="16"/>
      <c r="Q66" s="13"/>
      <c r="R66" s="13"/>
      <c r="S66" s="13"/>
      <c r="T66" s="13"/>
      <c r="U66" s="13"/>
      <c r="V66" s="13"/>
      <c r="W66" s="13"/>
      <c r="X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</row>
    <row r="67" spans="1:48" ht="13.05" customHeight="1" x14ac:dyDescent="0.3">
      <c r="A67" s="13"/>
      <c r="B67" s="34" t="str">
        <f t="shared" si="1"/>
        <v/>
      </c>
      <c r="C67" s="13"/>
      <c r="D67" s="13"/>
      <c r="E67" s="13"/>
      <c r="F67" s="13"/>
      <c r="G67" s="16"/>
      <c r="H67" s="13"/>
      <c r="I67" s="13"/>
      <c r="J67" s="13"/>
      <c r="K67" s="16"/>
      <c r="L67" s="13"/>
      <c r="M67" s="13"/>
      <c r="N67" s="13"/>
      <c r="O67" s="13"/>
      <c r="P67" s="16"/>
      <c r="Q67" s="13"/>
      <c r="R67" s="13"/>
      <c r="S67" s="13"/>
      <c r="T67" s="13"/>
      <c r="U67" s="13"/>
      <c r="V67" s="13"/>
      <c r="W67" s="13"/>
      <c r="X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</row>
    <row r="68" spans="1:48" ht="13.05" customHeight="1" x14ac:dyDescent="0.3">
      <c r="A68" s="13"/>
      <c r="B68" s="34" t="str">
        <f t="shared" si="1"/>
        <v/>
      </c>
      <c r="C68" s="13"/>
      <c r="D68" s="13"/>
      <c r="E68" s="13"/>
      <c r="F68" s="13"/>
      <c r="G68" s="16"/>
      <c r="H68" s="13"/>
      <c r="I68" s="13"/>
      <c r="J68" s="13"/>
      <c r="K68" s="16"/>
      <c r="L68" s="13"/>
      <c r="M68" s="13"/>
      <c r="N68" s="13"/>
      <c r="O68" s="13"/>
      <c r="P68" s="16"/>
      <c r="Q68" s="13"/>
      <c r="R68" s="13"/>
      <c r="S68" s="13"/>
      <c r="T68" s="13"/>
      <c r="U68" s="13"/>
      <c r="V68" s="13"/>
      <c r="W68" s="13"/>
      <c r="X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</row>
    <row r="69" spans="1:48" ht="13.05" customHeight="1" x14ac:dyDescent="0.3">
      <c r="A69" s="13"/>
      <c r="B69" s="34" t="str">
        <f t="shared" si="1"/>
        <v/>
      </c>
      <c r="C69" s="13"/>
      <c r="D69" s="13"/>
      <c r="E69" s="13"/>
      <c r="F69" s="13"/>
      <c r="G69" s="16"/>
      <c r="H69" s="13"/>
      <c r="I69" s="13"/>
      <c r="J69" s="13"/>
      <c r="K69" s="16"/>
      <c r="L69" s="13"/>
      <c r="M69" s="13"/>
      <c r="N69" s="13"/>
      <c r="O69" s="13"/>
      <c r="P69" s="16"/>
      <c r="Q69" s="13"/>
      <c r="R69" s="13"/>
      <c r="S69" s="13"/>
      <c r="T69" s="13"/>
      <c r="U69" s="13"/>
      <c r="V69" s="13"/>
      <c r="W69" s="13"/>
      <c r="X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</row>
    <row r="70" spans="1:48" ht="13.05" customHeight="1" x14ac:dyDescent="0.3">
      <c r="A70" s="13"/>
      <c r="B70" s="34" t="str">
        <f t="shared" ref="B70:B101" si="2">IF(COUNTA(C70,D70,E70,H70,I70)=0,"","I"&amp;TEXT(ROW()-5,"000"))</f>
        <v/>
      </c>
      <c r="C70" s="13"/>
      <c r="D70" s="13"/>
      <c r="E70" s="13"/>
      <c r="F70" s="13"/>
      <c r="G70" s="16"/>
      <c r="H70" s="13"/>
      <c r="I70" s="13"/>
      <c r="J70" s="13"/>
      <c r="K70" s="16"/>
      <c r="L70" s="13"/>
      <c r="M70" s="13"/>
      <c r="N70" s="13"/>
      <c r="O70" s="13"/>
      <c r="P70" s="16"/>
      <c r="Q70" s="13"/>
      <c r="R70" s="13"/>
      <c r="S70" s="13"/>
      <c r="T70" s="13"/>
      <c r="U70" s="13"/>
      <c r="V70" s="13"/>
      <c r="W70" s="13"/>
      <c r="X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</row>
    <row r="71" spans="1:48" ht="13.05" customHeight="1" x14ac:dyDescent="0.3">
      <c r="A71" s="13"/>
      <c r="B71" s="34" t="str">
        <f t="shared" si="2"/>
        <v/>
      </c>
      <c r="C71" s="13"/>
      <c r="D71" s="13"/>
      <c r="E71" s="13"/>
      <c r="F71" s="13"/>
      <c r="G71" s="16"/>
      <c r="H71" s="13"/>
      <c r="I71" s="13"/>
      <c r="J71" s="13"/>
      <c r="K71" s="16"/>
      <c r="L71" s="13"/>
      <c r="M71" s="13"/>
      <c r="N71" s="13"/>
      <c r="O71" s="13"/>
      <c r="P71" s="16"/>
      <c r="Q71" s="13"/>
      <c r="R71" s="13"/>
      <c r="S71" s="13"/>
      <c r="T71" s="13"/>
      <c r="U71" s="13"/>
      <c r="V71" s="13"/>
      <c r="W71" s="13"/>
      <c r="X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</row>
    <row r="72" spans="1:48" ht="13.05" customHeight="1" x14ac:dyDescent="0.3">
      <c r="A72" s="13"/>
      <c r="B72" s="34" t="str">
        <f t="shared" si="2"/>
        <v/>
      </c>
      <c r="C72" s="13"/>
      <c r="D72" s="13"/>
      <c r="E72" s="13"/>
      <c r="F72" s="13"/>
      <c r="G72" s="16"/>
      <c r="H72" s="13"/>
      <c r="I72" s="13"/>
      <c r="J72" s="13"/>
      <c r="K72" s="16"/>
      <c r="L72" s="13"/>
      <c r="M72" s="13"/>
      <c r="N72" s="13"/>
      <c r="O72" s="13"/>
      <c r="P72" s="16"/>
      <c r="Q72" s="13"/>
      <c r="R72" s="13"/>
      <c r="S72" s="13"/>
      <c r="T72" s="13"/>
      <c r="U72" s="13"/>
      <c r="V72" s="13"/>
      <c r="W72" s="13"/>
      <c r="X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</row>
    <row r="73" spans="1:48" ht="13.05" customHeight="1" x14ac:dyDescent="0.3">
      <c r="A73" s="13"/>
      <c r="B73" s="34" t="str">
        <f t="shared" si="2"/>
        <v/>
      </c>
      <c r="C73" s="13"/>
      <c r="D73" s="13"/>
      <c r="E73" s="13"/>
      <c r="F73" s="13"/>
      <c r="G73" s="16"/>
      <c r="H73" s="13"/>
      <c r="I73" s="13"/>
      <c r="J73" s="13"/>
      <c r="K73" s="16"/>
      <c r="L73" s="13"/>
      <c r="M73" s="13"/>
      <c r="N73" s="13"/>
      <c r="O73" s="13"/>
      <c r="P73" s="16"/>
      <c r="Q73" s="13"/>
      <c r="R73" s="13"/>
      <c r="S73" s="13"/>
      <c r="T73" s="13"/>
      <c r="U73" s="13"/>
      <c r="V73" s="13"/>
      <c r="W73" s="13"/>
      <c r="X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</row>
    <row r="74" spans="1:48" ht="13.05" customHeight="1" x14ac:dyDescent="0.3">
      <c r="A74" s="13"/>
      <c r="B74" s="34" t="str">
        <f t="shared" si="2"/>
        <v/>
      </c>
      <c r="C74" s="13"/>
      <c r="D74" s="13"/>
      <c r="E74" s="13"/>
      <c r="F74" s="13"/>
      <c r="G74" s="16"/>
      <c r="H74" s="13"/>
      <c r="I74" s="13"/>
      <c r="J74" s="13"/>
      <c r="K74" s="16"/>
      <c r="L74" s="13"/>
      <c r="M74" s="13"/>
      <c r="N74" s="13"/>
      <c r="O74" s="13"/>
      <c r="P74" s="16"/>
      <c r="Q74" s="13"/>
      <c r="R74" s="13"/>
      <c r="S74" s="13"/>
      <c r="T74" s="13"/>
      <c r="U74" s="13"/>
      <c r="V74" s="13"/>
      <c r="W74" s="13"/>
      <c r="X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</row>
    <row r="75" spans="1:48" ht="13.05" customHeight="1" x14ac:dyDescent="0.3">
      <c r="A75" s="13"/>
      <c r="B75" s="34" t="str">
        <f t="shared" si="2"/>
        <v/>
      </c>
      <c r="C75" s="13"/>
      <c r="D75" s="13"/>
      <c r="E75" s="13"/>
      <c r="F75" s="13"/>
      <c r="G75" s="16"/>
      <c r="H75" s="13"/>
      <c r="I75" s="13"/>
      <c r="J75" s="13"/>
      <c r="K75" s="16"/>
      <c r="L75" s="13"/>
      <c r="M75" s="13"/>
      <c r="N75" s="13"/>
      <c r="O75" s="13"/>
      <c r="P75" s="16"/>
      <c r="Q75" s="13"/>
      <c r="R75" s="13"/>
      <c r="S75" s="13"/>
      <c r="T75" s="13"/>
      <c r="U75" s="13"/>
      <c r="V75" s="13"/>
      <c r="W75" s="13"/>
      <c r="X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</row>
    <row r="76" spans="1:48" ht="13.05" customHeight="1" x14ac:dyDescent="0.3">
      <c r="A76" s="13"/>
      <c r="B76" s="34" t="str">
        <f t="shared" si="2"/>
        <v/>
      </c>
      <c r="C76" s="13"/>
      <c r="D76" s="13"/>
      <c r="E76" s="13"/>
      <c r="F76" s="13"/>
      <c r="G76" s="16"/>
      <c r="H76" s="13"/>
      <c r="I76" s="13"/>
      <c r="J76" s="13"/>
      <c r="K76" s="16"/>
      <c r="L76" s="13"/>
      <c r="M76" s="13"/>
      <c r="N76" s="13"/>
      <c r="O76" s="13"/>
      <c r="P76" s="16"/>
      <c r="Q76" s="13"/>
      <c r="R76" s="13"/>
      <c r="S76" s="13"/>
      <c r="T76" s="13"/>
      <c r="U76" s="13"/>
      <c r="V76" s="13"/>
      <c r="W76" s="13"/>
      <c r="X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</row>
    <row r="77" spans="1:48" ht="13.05" customHeight="1" x14ac:dyDescent="0.3">
      <c r="A77" s="13"/>
      <c r="B77" s="34" t="str">
        <f t="shared" si="2"/>
        <v/>
      </c>
      <c r="C77" s="13"/>
      <c r="D77" s="13"/>
      <c r="E77" s="13"/>
      <c r="F77" s="13"/>
      <c r="G77" s="16"/>
      <c r="H77" s="13"/>
      <c r="I77" s="13"/>
      <c r="J77" s="13"/>
      <c r="K77" s="16"/>
      <c r="L77" s="13"/>
      <c r="M77" s="13"/>
      <c r="N77" s="13"/>
      <c r="O77" s="13"/>
      <c r="P77" s="16"/>
      <c r="Q77" s="13"/>
      <c r="R77" s="13"/>
      <c r="S77" s="13"/>
      <c r="T77" s="13"/>
      <c r="U77" s="13"/>
      <c r="V77" s="13"/>
      <c r="W77" s="13"/>
      <c r="X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</row>
    <row r="78" spans="1:48" ht="13.05" customHeight="1" x14ac:dyDescent="0.3">
      <c r="A78" s="13"/>
      <c r="B78" s="34" t="str">
        <f t="shared" si="2"/>
        <v/>
      </c>
      <c r="C78" s="13"/>
      <c r="D78" s="13"/>
      <c r="E78" s="13"/>
      <c r="F78" s="13"/>
      <c r="G78" s="16"/>
      <c r="H78" s="13"/>
      <c r="I78" s="13"/>
      <c r="J78" s="13"/>
      <c r="K78" s="16"/>
      <c r="L78" s="13"/>
      <c r="M78" s="13"/>
      <c r="N78" s="13"/>
      <c r="O78" s="13"/>
      <c r="P78" s="16"/>
      <c r="Q78" s="13"/>
      <c r="R78" s="13"/>
      <c r="S78" s="13"/>
      <c r="T78" s="13"/>
      <c r="U78" s="13"/>
      <c r="V78" s="13"/>
      <c r="W78" s="13"/>
      <c r="X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</row>
    <row r="79" spans="1:48" ht="13.05" customHeight="1" x14ac:dyDescent="0.3">
      <c r="A79" s="13"/>
      <c r="B79" s="34" t="str">
        <f t="shared" si="2"/>
        <v/>
      </c>
      <c r="C79" s="13"/>
      <c r="D79" s="13"/>
      <c r="E79" s="13"/>
      <c r="F79" s="13"/>
      <c r="G79" s="16"/>
      <c r="H79" s="13"/>
      <c r="I79" s="13"/>
      <c r="J79" s="13"/>
      <c r="K79" s="16"/>
      <c r="L79" s="13"/>
      <c r="M79" s="13"/>
      <c r="N79" s="13"/>
      <c r="O79" s="13"/>
      <c r="P79" s="16"/>
      <c r="Q79" s="13"/>
      <c r="R79" s="13"/>
      <c r="S79" s="13"/>
      <c r="T79" s="13"/>
      <c r="U79" s="13"/>
      <c r="V79" s="13"/>
      <c r="W79" s="13"/>
      <c r="X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</row>
    <row r="80" spans="1:48" ht="13.05" customHeight="1" x14ac:dyDescent="0.3">
      <c r="A80" s="13"/>
      <c r="B80" s="34" t="str">
        <f t="shared" si="2"/>
        <v/>
      </c>
      <c r="C80" s="13"/>
      <c r="D80" s="13"/>
      <c r="E80" s="13"/>
      <c r="F80" s="13"/>
      <c r="G80" s="16"/>
      <c r="H80" s="13"/>
      <c r="I80" s="13"/>
      <c r="J80" s="13"/>
      <c r="K80" s="16"/>
      <c r="L80" s="13"/>
      <c r="M80" s="13"/>
      <c r="N80" s="13"/>
      <c r="O80" s="13"/>
      <c r="P80" s="16"/>
      <c r="Q80" s="13"/>
      <c r="R80" s="13"/>
      <c r="S80" s="13"/>
      <c r="T80" s="13"/>
      <c r="U80" s="13"/>
      <c r="V80" s="13"/>
      <c r="W80" s="13"/>
      <c r="X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</row>
    <row r="81" spans="1:48" ht="13.05" customHeight="1" x14ac:dyDescent="0.3">
      <c r="A81" s="13"/>
      <c r="B81" s="34" t="str">
        <f t="shared" si="2"/>
        <v/>
      </c>
      <c r="C81" s="13"/>
      <c r="D81" s="13"/>
      <c r="E81" s="13"/>
      <c r="F81" s="13"/>
      <c r="G81" s="16"/>
      <c r="H81" s="13"/>
      <c r="I81" s="13"/>
      <c r="J81" s="13"/>
      <c r="K81" s="16"/>
      <c r="L81" s="13"/>
      <c r="M81" s="13"/>
      <c r="N81" s="13"/>
      <c r="O81" s="13"/>
      <c r="P81" s="16"/>
      <c r="Q81" s="13"/>
      <c r="R81" s="13"/>
      <c r="S81" s="13"/>
      <c r="T81" s="13"/>
      <c r="U81" s="13"/>
      <c r="V81" s="13"/>
      <c r="W81" s="13"/>
      <c r="X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</row>
    <row r="82" spans="1:48" ht="13.05" customHeight="1" x14ac:dyDescent="0.3">
      <c r="A82" s="13"/>
      <c r="B82" s="34" t="str">
        <f t="shared" si="2"/>
        <v/>
      </c>
      <c r="C82" s="13"/>
      <c r="D82" s="13"/>
      <c r="E82" s="13"/>
      <c r="F82" s="13"/>
      <c r="G82" s="16"/>
      <c r="H82" s="13"/>
      <c r="I82" s="13"/>
      <c r="J82" s="13"/>
      <c r="K82" s="16"/>
      <c r="L82" s="13"/>
      <c r="M82" s="13"/>
      <c r="N82" s="13"/>
      <c r="O82" s="13"/>
      <c r="P82" s="16"/>
      <c r="Q82" s="13"/>
      <c r="R82" s="13"/>
      <c r="S82" s="13"/>
      <c r="T82" s="13"/>
      <c r="U82" s="13"/>
      <c r="V82" s="13"/>
      <c r="W82" s="13"/>
      <c r="X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</row>
    <row r="83" spans="1:48" ht="13.05" customHeight="1" x14ac:dyDescent="0.3">
      <c r="A83" s="13"/>
      <c r="B83" s="34" t="str">
        <f t="shared" si="2"/>
        <v/>
      </c>
      <c r="C83" s="13"/>
      <c r="D83" s="13"/>
      <c r="E83" s="13"/>
      <c r="F83" s="13"/>
      <c r="G83" s="16"/>
      <c r="H83" s="13"/>
      <c r="I83" s="13"/>
      <c r="J83" s="13"/>
      <c r="K83" s="16"/>
      <c r="L83" s="13"/>
      <c r="M83" s="13"/>
      <c r="N83" s="13"/>
      <c r="O83" s="13"/>
      <c r="P83" s="16"/>
      <c r="Q83" s="13"/>
      <c r="R83" s="13"/>
      <c r="S83" s="13"/>
      <c r="T83" s="13"/>
      <c r="U83" s="13"/>
      <c r="V83" s="13"/>
      <c r="W83" s="13"/>
      <c r="X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</row>
    <row r="84" spans="1:48" ht="13.05" customHeight="1" x14ac:dyDescent="0.3">
      <c r="A84" s="13"/>
      <c r="B84" s="34" t="str">
        <f t="shared" si="2"/>
        <v/>
      </c>
      <c r="C84" s="13"/>
      <c r="D84" s="13"/>
      <c r="E84" s="13"/>
      <c r="F84" s="13"/>
      <c r="G84" s="16"/>
      <c r="H84" s="13"/>
      <c r="I84" s="13"/>
      <c r="J84" s="13"/>
      <c r="K84" s="16"/>
      <c r="L84" s="13"/>
      <c r="M84" s="13"/>
      <c r="N84" s="13"/>
      <c r="O84" s="13"/>
      <c r="P84" s="16"/>
      <c r="Q84" s="13"/>
      <c r="R84" s="13"/>
      <c r="S84" s="13"/>
      <c r="T84" s="13"/>
      <c r="U84" s="13"/>
      <c r="V84" s="13"/>
      <c r="W84" s="13"/>
      <c r="X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</row>
    <row r="85" spans="1:48" ht="13.05" customHeight="1" x14ac:dyDescent="0.3">
      <c r="A85" s="13"/>
      <c r="B85" s="34" t="str">
        <f t="shared" si="2"/>
        <v/>
      </c>
      <c r="C85" s="13"/>
      <c r="D85" s="13"/>
      <c r="E85" s="13"/>
      <c r="F85" s="13"/>
      <c r="G85" s="16"/>
      <c r="H85" s="13"/>
      <c r="I85" s="13"/>
      <c r="J85" s="13"/>
      <c r="K85" s="16"/>
      <c r="L85" s="13"/>
      <c r="M85" s="13"/>
      <c r="N85" s="13"/>
      <c r="O85" s="13"/>
      <c r="P85" s="16"/>
      <c r="Q85" s="13"/>
      <c r="R85" s="13"/>
      <c r="S85" s="13"/>
      <c r="T85" s="13"/>
      <c r="U85" s="13"/>
      <c r="V85" s="13"/>
      <c r="W85" s="13"/>
      <c r="X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</row>
    <row r="86" spans="1:48" ht="13.05" customHeight="1" x14ac:dyDescent="0.3">
      <c r="A86" s="13"/>
      <c r="B86" s="34" t="str">
        <f t="shared" si="2"/>
        <v/>
      </c>
      <c r="C86" s="13"/>
      <c r="D86" s="13"/>
      <c r="E86" s="13"/>
      <c r="F86" s="13"/>
      <c r="G86" s="16"/>
      <c r="H86" s="13"/>
      <c r="I86" s="13"/>
      <c r="J86" s="13"/>
      <c r="K86" s="16"/>
      <c r="L86" s="13"/>
      <c r="M86" s="13"/>
      <c r="N86" s="13"/>
      <c r="O86" s="13"/>
      <c r="P86" s="16"/>
      <c r="Q86" s="13"/>
      <c r="R86" s="13"/>
      <c r="S86" s="13"/>
      <c r="T86" s="13"/>
      <c r="U86" s="13"/>
      <c r="V86" s="13"/>
      <c r="W86" s="13"/>
      <c r="X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</row>
    <row r="87" spans="1:48" ht="13.05" customHeight="1" x14ac:dyDescent="0.3">
      <c r="A87" s="13"/>
      <c r="B87" s="34" t="str">
        <f t="shared" si="2"/>
        <v/>
      </c>
      <c r="C87" s="13"/>
      <c r="D87" s="13"/>
      <c r="E87" s="13"/>
      <c r="F87" s="13"/>
      <c r="G87" s="16"/>
      <c r="H87" s="13"/>
      <c r="I87" s="13"/>
      <c r="J87" s="13"/>
      <c r="K87" s="16"/>
      <c r="L87" s="13"/>
      <c r="M87" s="13"/>
      <c r="N87" s="13"/>
      <c r="O87" s="13"/>
      <c r="P87" s="16"/>
      <c r="Q87" s="13"/>
      <c r="R87" s="13"/>
      <c r="S87" s="13"/>
      <c r="T87" s="13"/>
      <c r="U87" s="13"/>
      <c r="V87" s="13"/>
      <c r="W87" s="13"/>
      <c r="X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</row>
    <row r="88" spans="1:48" ht="13.05" customHeight="1" x14ac:dyDescent="0.3">
      <c r="A88" s="13"/>
      <c r="B88" s="34" t="str">
        <f t="shared" si="2"/>
        <v/>
      </c>
      <c r="C88" s="13"/>
      <c r="D88" s="13"/>
      <c r="E88" s="13"/>
      <c r="F88" s="13"/>
      <c r="G88" s="16"/>
      <c r="H88" s="13"/>
      <c r="I88" s="13"/>
      <c r="J88" s="13"/>
      <c r="K88" s="16"/>
      <c r="L88" s="13"/>
      <c r="M88" s="13"/>
      <c r="N88" s="13"/>
      <c r="O88" s="13"/>
      <c r="P88" s="16"/>
      <c r="Q88" s="13"/>
      <c r="R88" s="13"/>
      <c r="S88" s="13"/>
      <c r="T88" s="13"/>
      <c r="U88" s="13"/>
      <c r="V88" s="13"/>
      <c r="W88" s="13"/>
      <c r="X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</row>
    <row r="89" spans="1:48" ht="13.05" customHeight="1" x14ac:dyDescent="0.3">
      <c r="A89" s="13"/>
      <c r="B89" s="34" t="str">
        <f t="shared" si="2"/>
        <v/>
      </c>
      <c r="C89" s="13"/>
      <c r="D89" s="13"/>
      <c r="E89" s="13"/>
      <c r="F89" s="13"/>
      <c r="G89" s="16"/>
      <c r="H89" s="13"/>
      <c r="I89" s="13"/>
      <c r="J89" s="13"/>
      <c r="K89" s="16"/>
      <c r="L89" s="13"/>
      <c r="M89" s="13"/>
      <c r="N89" s="13"/>
      <c r="O89" s="13"/>
      <c r="P89" s="16"/>
      <c r="Q89" s="13"/>
      <c r="R89" s="13"/>
      <c r="S89" s="13"/>
      <c r="T89" s="13"/>
      <c r="U89" s="13"/>
      <c r="V89" s="13"/>
      <c r="W89" s="13"/>
      <c r="X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</row>
    <row r="90" spans="1:48" ht="13.05" customHeight="1" x14ac:dyDescent="0.3">
      <c r="A90" s="13"/>
      <c r="B90" s="34" t="str">
        <f t="shared" si="2"/>
        <v/>
      </c>
      <c r="C90" s="13"/>
      <c r="D90" s="13"/>
      <c r="E90" s="13"/>
      <c r="F90" s="13"/>
      <c r="G90" s="16"/>
      <c r="H90" s="13"/>
      <c r="I90" s="13"/>
      <c r="J90" s="13"/>
      <c r="K90" s="16"/>
      <c r="L90" s="13"/>
      <c r="M90" s="13"/>
      <c r="N90" s="13"/>
      <c r="O90" s="13"/>
      <c r="P90" s="16"/>
      <c r="Q90" s="13"/>
      <c r="R90" s="13"/>
      <c r="S90" s="13"/>
      <c r="T90" s="13"/>
      <c r="U90" s="13"/>
      <c r="V90" s="13"/>
      <c r="W90" s="13"/>
      <c r="X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</row>
    <row r="91" spans="1:48" ht="13.05" customHeight="1" x14ac:dyDescent="0.3">
      <c r="A91" s="13"/>
      <c r="B91" s="34" t="str">
        <f t="shared" si="2"/>
        <v/>
      </c>
      <c r="C91" s="13"/>
      <c r="D91" s="13"/>
      <c r="E91" s="13"/>
      <c r="F91" s="13"/>
      <c r="G91" s="16"/>
      <c r="H91" s="13"/>
      <c r="I91" s="13"/>
      <c r="J91" s="13"/>
      <c r="K91" s="16"/>
      <c r="L91" s="13"/>
      <c r="M91" s="13"/>
      <c r="N91" s="13"/>
      <c r="O91" s="13"/>
      <c r="P91" s="16"/>
      <c r="Q91" s="13"/>
      <c r="R91" s="13"/>
      <c r="S91" s="13"/>
      <c r="T91" s="13"/>
      <c r="U91" s="13"/>
      <c r="V91" s="13"/>
      <c r="W91" s="13"/>
      <c r="X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</row>
    <row r="92" spans="1:48" ht="13.05" customHeight="1" x14ac:dyDescent="0.3">
      <c r="A92" s="13"/>
      <c r="B92" s="34" t="str">
        <f t="shared" si="2"/>
        <v/>
      </c>
      <c r="C92" s="13"/>
      <c r="D92" s="13"/>
      <c r="E92" s="13"/>
      <c r="F92" s="13"/>
      <c r="G92" s="16"/>
      <c r="H92" s="13"/>
      <c r="I92" s="13"/>
      <c r="J92" s="13"/>
      <c r="K92" s="16"/>
      <c r="L92" s="13"/>
      <c r="M92" s="13"/>
      <c r="N92" s="13"/>
      <c r="O92" s="13"/>
      <c r="P92" s="16"/>
      <c r="Q92" s="13"/>
      <c r="R92" s="13"/>
      <c r="S92" s="13"/>
      <c r="T92" s="13"/>
      <c r="U92" s="13"/>
      <c r="V92" s="13"/>
      <c r="W92" s="13"/>
      <c r="X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</row>
    <row r="93" spans="1:48" ht="13.05" customHeight="1" x14ac:dyDescent="0.3">
      <c r="A93" s="13"/>
      <c r="B93" s="34" t="str">
        <f t="shared" si="2"/>
        <v/>
      </c>
      <c r="C93" s="13"/>
      <c r="D93" s="13"/>
      <c r="E93" s="13"/>
      <c r="F93" s="13"/>
      <c r="G93" s="16"/>
      <c r="H93" s="13"/>
      <c r="I93" s="13"/>
      <c r="J93" s="13"/>
      <c r="K93" s="16"/>
      <c r="L93" s="13"/>
      <c r="M93" s="13"/>
      <c r="N93" s="13"/>
      <c r="O93" s="13"/>
      <c r="P93" s="16"/>
      <c r="Q93" s="13"/>
      <c r="R93" s="13"/>
      <c r="S93" s="13"/>
      <c r="T93" s="13"/>
      <c r="U93" s="13"/>
      <c r="V93" s="13"/>
      <c r="W93" s="13"/>
      <c r="X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</row>
    <row r="94" spans="1:48" ht="13.05" customHeight="1" x14ac:dyDescent="0.3">
      <c r="A94" s="13"/>
      <c r="B94" s="34" t="str">
        <f t="shared" si="2"/>
        <v/>
      </c>
      <c r="C94" s="13"/>
      <c r="D94" s="13"/>
      <c r="E94" s="13"/>
      <c r="F94" s="13"/>
      <c r="G94" s="16"/>
      <c r="H94" s="13"/>
      <c r="I94" s="13"/>
      <c r="J94" s="13"/>
      <c r="K94" s="16"/>
      <c r="L94" s="13"/>
      <c r="M94" s="13"/>
      <c r="N94" s="13"/>
      <c r="O94" s="13"/>
      <c r="P94" s="16"/>
      <c r="Q94" s="13"/>
      <c r="R94" s="13"/>
      <c r="S94" s="13"/>
      <c r="T94" s="13"/>
      <c r="U94" s="13"/>
      <c r="V94" s="13"/>
      <c r="W94" s="13"/>
      <c r="X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</row>
    <row r="95" spans="1:48" ht="13.05" customHeight="1" x14ac:dyDescent="0.3">
      <c r="A95" s="13"/>
      <c r="B95" s="34" t="str">
        <f t="shared" si="2"/>
        <v/>
      </c>
      <c r="C95" s="13"/>
      <c r="D95" s="13"/>
      <c r="E95" s="13"/>
      <c r="F95" s="13"/>
      <c r="G95" s="16"/>
      <c r="H95" s="13"/>
      <c r="I95" s="13"/>
      <c r="J95" s="13"/>
      <c r="K95" s="16"/>
      <c r="L95" s="13"/>
      <c r="M95" s="13"/>
      <c r="N95" s="13"/>
      <c r="O95" s="13"/>
      <c r="P95" s="16"/>
      <c r="Q95" s="13"/>
      <c r="R95" s="13"/>
      <c r="S95" s="13"/>
      <c r="T95" s="13"/>
      <c r="U95" s="13"/>
      <c r="V95" s="13"/>
      <c r="W95" s="13"/>
      <c r="X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</row>
    <row r="96" spans="1:48" ht="13.05" customHeight="1" x14ac:dyDescent="0.3">
      <c r="A96" s="13"/>
      <c r="B96" s="34" t="str">
        <f t="shared" si="2"/>
        <v/>
      </c>
      <c r="C96" s="13"/>
      <c r="D96" s="13"/>
      <c r="E96" s="13"/>
      <c r="F96" s="13"/>
      <c r="G96" s="16"/>
      <c r="H96" s="13"/>
      <c r="I96" s="13"/>
      <c r="J96" s="13"/>
      <c r="K96" s="16"/>
      <c r="L96" s="13"/>
      <c r="M96" s="13"/>
      <c r="N96" s="13"/>
      <c r="O96" s="13"/>
      <c r="P96" s="16"/>
      <c r="Q96" s="13"/>
      <c r="R96" s="13"/>
      <c r="S96" s="13"/>
      <c r="T96" s="13"/>
      <c r="U96" s="13"/>
      <c r="V96" s="13"/>
      <c r="W96" s="13"/>
      <c r="X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</row>
    <row r="97" spans="1:48" ht="13.05" customHeight="1" x14ac:dyDescent="0.3">
      <c r="A97" s="13"/>
      <c r="B97" s="34" t="str">
        <f t="shared" si="2"/>
        <v/>
      </c>
      <c r="C97" s="13"/>
      <c r="D97" s="13"/>
      <c r="E97" s="13"/>
      <c r="F97" s="13"/>
      <c r="G97" s="16"/>
      <c r="H97" s="13"/>
      <c r="I97" s="13"/>
      <c r="J97" s="13"/>
      <c r="K97" s="16"/>
      <c r="L97" s="13"/>
      <c r="M97" s="13"/>
      <c r="N97" s="13"/>
      <c r="O97" s="13"/>
      <c r="P97" s="16"/>
      <c r="Q97" s="13"/>
      <c r="R97" s="13"/>
      <c r="S97" s="13"/>
      <c r="T97" s="13"/>
      <c r="U97" s="13"/>
      <c r="V97" s="13"/>
      <c r="W97" s="13"/>
      <c r="X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</row>
    <row r="98" spans="1:48" ht="13.05" customHeight="1" x14ac:dyDescent="0.3">
      <c r="A98" s="13"/>
      <c r="B98" s="34" t="str">
        <f t="shared" si="2"/>
        <v/>
      </c>
      <c r="C98" s="13"/>
      <c r="D98" s="13"/>
      <c r="E98" s="13"/>
      <c r="F98" s="13"/>
      <c r="G98" s="16"/>
      <c r="H98" s="13"/>
      <c r="I98" s="13"/>
      <c r="J98" s="13"/>
      <c r="K98" s="16"/>
      <c r="L98" s="13"/>
      <c r="M98" s="13"/>
      <c r="N98" s="13"/>
      <c r="O98" s="13"/>
      <c r="P98" s="16"/>
      <c r="Q98" s="13"/>
      <c r="R98" s="13"/>
      <c r="S98" s="13"/>
      <c r="T98" s="13"/>
      <c r="U98" s="13"/>
      <c r="V98" s="13"/>
      <c r="W98" s="13"/>
      <c r="X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</row>
    <row r="99" spans="1:48" ht="13.05" customHeight="1" x14ac:dyDescent="0.3">
      <c r="A99" s="13"/>
      <c r="B99" s="34" t="str">
        <f t="shared" si="2"/>
        <v/>
      </c>
      <c r="C99" s="13"/>
      <c r="D99" s="13"/>
      <c r="E99" s="13"/>
      <c r="F99" s="13"/>
      <c r="G99" s="16"/>
      <c r="H99" s="13"/>
      <c r="I99" s="13"/>
      <c r="J99" s="13"/>
      <c r="K99" s="16"/>
      <c r="L99" s="13"/>
      <c r="M99" s="13"/>
      <c r="N99" s="13"/>
      <c r="O99" s="13"/>
      <c r="P99" s="16"/>
      <c r="Q99" s="13"/>
      <c r="R99" s="13"/>
      <c r="S99" s="13"/>
      <c r="T99" s="13"/>
      <c r="U99" s="13"/>
      <c r="V99" s="13"/>
      <c r="W99" s="13"/>
      <c r="X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</row>
    <row r="100" spans="1:48" ht="13.05" customHeight="1" x14ac:dyDescent="0.3">
      <c r="A100" s="13"/>
      <c r="B100" s="34" t="str">
        <f t="shared" si="2"/>
        <v/>
      </c>
      <c r="C100" s="13"/>
      <c r="D100" s="13"/>
      <c r="E100" s="13"/>
      <c r="F100" s="13"/>
      <c r="G100" s="16"/>
      <c r="H100" s="13"/>
      <c r="I100" s="13"/>
      <c r="J100" s="13"/>
      <c r="K100" s="16"/>
      <c r="L100" s="13"/>
      <c r="M100" s="13"/>
      <c r="N100" s="13"/>
      <c r="O100" s="13"/>
      <c r="P100" s="16"/>
      <c r="Q100" s="13"/>
      <c r="R100" s="13"/>
      <c r="S100" s="13"/>
      <c r="T100" s="13"/>
      <c r="U100" s="13"/>
      <c r="V100" s="13"/>
      <c r="W100" s="13"/>
      <c r="X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</row>
    <row r="101" spans="1:48" ht="13.05" customHeight="1" x14ac:dyDescent="0.3">
      <c r="A101" s="13"/>
      <c r="B101" s="34" t="str">
        <f t="shared" si="2"/>
        <v/>
      </c>
      <c r="C101" s="13"/>
      <c r="D101" s="13"/>
      <c r="E101" s="13"/>
      <c r="F101" s="13"/>
      <c r="G101" s="16"/>
      <c r="H101" s="13"/>
      <c r="I101" s="13"/>
      <c r="J101" s="13"/>
      <c r="K101" s="16"/>
      <c r="L101" s="13"/>
      <c r="M101" s="13"/>
      <c r="N101" s="13"/>
      <c r="O101" s="13"/>
      <c r="P101" s="16"/>
      <c r="Q101" s="13"/>
      <c r="R101" s="13"/>
      <c r="S101" s="13"/>
      <c r="T101" s="13"/>
      <c r="U101" s="13"/>
      <c r="V101" s="13"/>
      <c r="W101" s="13"/>
      <c r="X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</row>
    <row r="102" spans="1:48" ht="13.05" customHeight="1" x14ac:dyDescent="0.3">
      <c r="A102" s="13"/>
      <c r="B102" s="34" t="str">
        <f t="shared" ref="B102:B133" si="3">IF(COUNTA(C102,D102,E102,H102,I102)=0,"","I"&amp;TEXT(ROW()-5,"000"))</f>
        <v/>
      </c>
      <c r="C102" s="13"/>
      <c r="D102" s="13"/>
      <c r="E102" s="13"/>
      <c r="F102" s="13"/>
      <c r="G102" s="16"/>
      <c r="H102" s="13"/>
      <c r="I102" s="13"/>
      <c r="J102" s="13"/>
      <c r="K102" s="16"/>
      <c r="L102" s="13"/>
      <c r="M102" s="13"/>
      <c r="N102" s="13"/>
      <c r="O102" s="13"/>
      <c r="P102" s="16"/>
      <c r="Q102" s="13"/>
      <c r="R102" s="13"/>
      <c r="S102" s="13"/>
      <c r="T102" s="13"/>
      <c r="U102" s="13"/>
      <c r="V102" s="13"/>
      <c r="W102" s="13"/>
      <c r="X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</row>
    <row r="103" spans="1:48" ht="13.05" customHeight="1" x14ac:dyDescent="0.3">
      <c r="A103" s="13"/>
      <c r="B103" s="34" t="str">
        <f t="shared" si="3"/>
        <v/>
      </c>
      <c r="C103" s="13"/>
      <c r="D103" s="13"/>
      <c r="E103" s="13"/>
      <c r="F103" s="13"/>
      <c r="G103" s="16"/>
      <c r="H103" s="13"/>
      <c r="I103" s="13"/>
      <c r="J103" s="13"/>
      <c r="K103" s="16"/>
      <c r="L103" s="13"/>
      <c r="M103" s="13"/>
      <c r="N103" s="13"/>
      <c r="O103" s="13"/>
      <c r="P103" s="16"/>
      <c r="Q103" s="13"/>
      <c r="R103" s="13"/>
      <c r="S103" s="13"/>
      <c r="T103" s="13"/>
      <c r="U103" s="13"/>
      <c r="V103" s="13"/>
      <c r="W103" s="13"/>
      <c r="X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</row>
    <row r="104" spans="1:48" ht="13.05" customHeight="1" x14ac:dyDescent="0.3">
      <c r="A104" s="13"/>
      <c r="B104" s="34" t="str">
        <f t="shared" si="3"/>
        <v/>
      </c>
      <c r="C104" s="13"/>
      <c r="D104" s="13"/>
      <c r="E104" s="13"/>
      <c r="F104" s="13"/>
      <c r="G104" s="16"/>
      <c r="H104" s="13"/>
      <c r="I104" s="13"/>
      <c r="J104" s="13"/>
      <c r="K104" s="16"/>
      <c r="L104" s="13"/>
      <c r="M104" s="13"/>
      <c r="N104" s="13"/>
      <c r="O104" s="13"/>
      <c r="P104" s="16"/>
      <c r="Q104" s="13"/>
      <c r="R104" s="13"/>
      <c r="S104" s="13"/>
      <c r="T104" s="13"/>
      <c r="U104" s="13"/>
      <c r="V104" s="13"/>
      <c r="W104" s="13"/>
      <c r="X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</row>
    <row r="105" spans="1:48" ht="13.05" customHeight="1" x14ac:dyDescent="0.3">
      <c r="A105" s="13"/>
      <c r="B105" s="34" t="str">
        <f t="shared" si="3"/>
        <v/>
      </c>
      <c r="C105" s="13"/>
      <c r="D105" s="13"/>
      <c r="E105" s="13"/>
      <c r="F105" s="13"/>
      <c r="G105" s="16"/>
      <c r="H105" s="13"/>
      <c r="I105" s="13"/>
      <c r="J105" s="13"/>
      <c r="K105" s="16"/>
      <c r="L105" s="13"/>
      <c r="M105" s="13"/>
      <c r="N105" s="13"/>
      <c r="O105" s="13"/>
      <c r="P105" s="16"/>
      <c r="Q105" s="13"/>
      <c r="R105" s="13"/>
      <c r="S105" s="13"/>
      <c r="T105" s="13"/>
      <c r="U105" s="13"/>
      <c r="V105" s="13"/>
      <c r="W105" s="13"/>
      <c r="X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</row>
    <row r="106" spans="1:48" ht="13.05" customHeight="1" x14ac:dyDescent="0.3">
      <c r="A106" s="13"/>
      <c r="B106" s="34" t="str">
        <f t="shared" si="3"/>
        <v/>
      </c>
      <c r="C106" s="13"/>
      <c r="D106" s="13"/>
      <c r="E106" s="13"/>
      <c r="F106" s="13"/>
      <c r="G106" s="16"/>
      <c r="H106" s="13"/>
      <c r="I106" s="13"/>
      <c r="J106" s="13"/>
      <c r="K106" s="16"/>
      <c r="L106" s="13"/>
      <c r="M106" s="13"/>
      <c r="N106" s="13"/>
      <c r="O106" s="13"/>
      <c r="P106" s="16"/>
      <c r="Q106" s="13"/>
      <c r="R106" s="13"/>
      <c r="S106" s="13"/>
      <c r="T106" s="13"/>
      <c r="U106" s="13"/>
      <c r="V106" s="13"/>
      <c r="W106" s="13"/>
      <c r="X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</row>
    <row r="107" spans="1:48" ht="13.05" customHeight="1" x14ac:dyDescent="0.3">
      <c r="A107" s="13"/>
      <c r="B107" s="34" t="str">
        <f t="shared" si="3"/>
        <v/>
      </c>
      <c r="C107" s="13"/>
      <c r="D107" s="13"/>
      <c r="E107" s="13"/>
      <c r="F107" s="13"/>
      <c r="G107" s="16"/>
      <c r="H107" s="13"/>
      <c r="I107" s="13"/>
      <c r="J107" s="13"/>
      <c r="K107" s="16"/>
      <c r="L107" s="13"/>
      <c r="M107" s="13"/>
      <c r="N107" s="13"/>
      <c r="O107" s="13"/>
      <c r="P107" s="16"/>
      <c r="Q107" s="13"/>
      <c r="R107" s="13"/>
      <c r="S107" s="13"/>
      <c r="T107" s="13"/>
      <c r="U107" s="13"/>
      <c r="V107" s="13"/>
      <c r="W107" s="13"/>
      <c r="X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</row>
    <row r="108" spans="1:48" ht="13.05" customHeight="1" x14ac:dyDescent="0.3">
      <c r="A108" s="13"/>
      <c r="B108" s="34" t="str">
        <f t="shared" si="3"/>
        <v/>
      </c>
      <c r="C108" s="13"/>
      <c r="D108" s="13"/>
      <c r="E108" s="13"/>
      <c r="F108" s="13"/>
      <c r="G108" s="16"/>
      <c r="H108" s="13"/>
      <c r="I108" s="13"/>
      <c r="J108" s="13"/>
      <c r="K108" s="16"/>
      <c r="L108" s="13"/>
      <c r="M108" s="13"/>
      <c r="N108" s="13"/>
      <c r="O108" s="13"/>
      <c r="P108" s="16"/>
      <c r="Q108" s="13"/>
      <c r="R108" s="13"/>
      <c r="S108" s="13"/>
      <c r="T108" s="13"/>
      <c r="U108" s="13"/>
      <c r="V108" s="13"/>
      <c r="W108" s="13"/>
      <c r="X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</row>
    <row r="109" spans="1:48" ht="13.05" customHeight="1" x14ac:dyDescent="0.3">
      <c r="A109" s="13"/>
      <c r="B109" s="34" t="str">
        <f t="shared" si="3"/>
        <v/>
      </c>
      <c r="C109" s="13"/>
      <c r="D109" s="13"/>
      <c r="E109" s="13"/>
      <c r="F109" s="13"/>
      <c r="G109" s="16"/>
      <c r="H109" s="13"/>
      <c r="I109" s="13"/>
      <c r="J109" s="13"/>
      <c r="K109" s="16"/>
      <c r="L109" s="13"/>
      <c r="M109" s="13"/>
      <c r="N109" s="13"/>
      <c r="O109" s="13"/>
      <c r="P109" s="16"/>
      <c r="Q109" s="13"/>
      <c r="R109" s="13"/>
      <c r="S109" s="13"/>
      <c r="T109" s="13"/>
      <c r="U109" s="13"/>
      <c r="V109" s="13"/>
      <c r="W109" s="13"/>
      <c r="X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</row>
    <row r="110" spans="1:48" ht="13.05" customHeight="1" x14ac:dyDescent="0.3">
      <c r="A110" s="13"/>
      <c r="B110" s="34" t="str">
        <f t="shared" si="3"/>
        <v/>
      </c>
      <c r="C110" s="13"/>
      <c r="D110" s="13"/>
      <c r="E110" s="13"/>
      <c r="F110" s="13"/>
      <c r="G110" s="16"/>
      <c r="H110" s="13"/>
      <c r="I110" s="13"/>
      <c r="J110" s="13"/>
      <c r="K110" s="16"/>
      <c r="L110" s="13"/>
      <c r="M110" s="13"/>
      <c r="N110" s="13"/>
      <c r="O110" s="13"/>
      <c r="P110" s="16"/>
      <c r="Q110" s="13"/>
      <c r="R110" s="13"/>
      <c r="S110" s="13"/>
      <c r="T110" s="13"/>
      <c r="U110" s="13"/>
      <c r="V110" s="13"/>
      <c r="W110" s="13"/>
      <c r="X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</row>
    <row r="111" spans="1:48" ht="13.05" customHeight="1" x14ac:dyDescent="0.3">
      <c r="A111" s="13"/>
      <c r="B111" s="34" t="str">
        <f t="shared" si="3"/>
        <v/>
      </c>
      <c r="C111" s="13"/>
      <c r="D111" s="13"/>
      <c r="E111" s="13"/>
      <c r="F111" s="13"/>
      <c r="G111" s="16"/>
      <c r="H111" s="13"/>
      <c r="I111" s="13"/>
      <c r="J111" s="13"/>
      <c r="K111" s="16"/>
      <c r="L111" s="13"/>
      <c r="M111" s="13"/>
      <c r="N111" s="13"/>
      <c r="O111" s="13"/>
      <c r="P111" s="16"/>
      <c r="Q111" s="13"/>
      <c r="R111" s="13"/>
      <c r="S111" s="13"/>
      <c r="T111" s="13"/>
      <c r="U111" s="13"/>
      <c r="V111" s="13"/>
      <c r="W111" s="13"/>
      <c r="X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</row>
    <row r="112" spans="1:48" ht="13.05" customHeight="1" x14ac:dyDescent="0.3">
      <c r="A112" s="13"/>
      <c r="B112" s="34" t="str">
        <f t="shared" si="3"/>
        <v/>
      </c>
      <c r="C112" s="13"/>
      <c r="D112" s="13"/>
      <c r="E112" s="13"/>
      <c r="F112" s="13"/>
      <c r="G112" s="16"/>
      <c r="H112" s="13"/>
      <c r="I112" s="13"/>
      <c r="J112" s="13"/>
      <c r="K112" s="16"/>
      <c r="L112" s="13"/>
      <c r="M112" s="13"/>
      <c r="N112" s="13"/>
      <c r="O112" s="13"/>
      <c r="P112" s="16"/>
      <c r="Q112" s="13"/>
      <c r="R112" s="13"/>
      <c r="S112" s="13"/>
      <c r="T112" s="13"/>
      <c r="U112" s="13"/>
      <c r="V112" s="13"/>
      <c r="W112" s="13"/>
      <c r="X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</row>
    <row r="113" spans="1:48" ht="13.05" customHeight="1" x14ac:dyDescent="0.3">
      <c r="A113" s="13"/>
      <c r="B113" s="34" t="str">
        <f t="shared" si="3"/>
        <v/>
      </c>
      <c r="C113" s="13"/>
      <c r="D113" s="13"/>
      <c r="E113" s="13"/>
      <c r="F113" s="13"/>
      <c r="G113" s="16"/>
      <c r="H113" s="13"/>
      <c r="I113" s="13"/>
      <c r="J113" s="13"/>
      <c r="K113" s="16"/>
      <c r="L113" s="13"/>
      <c r="M113" s="13"/>
      <c r="N113" s="13"/>
      <c r="O113" s="13"/>
      <c r="P113" s="16"/>
      <c r="Q113" s="13"/>
      <c r="R113" s="13"/>
      <c r="S113" s="13"/>
      <c r="T113" s="13"/>
      <c r="U113" s="13"/>
      <c r="V113" s="13"/>
      <c r="W113" s="13"/>
      <c r="X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</row>
    <row r="114" spans="1:48" ht="13.05" customHeight="1" x14ac:dyDescent="0.3">
      <c r="A114" s="13"/>
      <c r="B114" s="34" t="str">
        <f t="shared" si="3"/>
        <v/>
      </c>
      <c r="C114" s="13"/>
      <c r="D114" s="13"/>
      <c r="E114" s="13"/>
      <c r="F114" s="13"/>
      <c r="G114" s="16"/>
      <c r="H114" s="13"/>
      <c r="I114" s="13"/>
      <c r="J114" s="13"/>
      <c r="K114" s="16"/>
      <c r="L114" s="13"/>
      <c r="M114" s="13"/>
      <c r="N114" s="13"/>
      <c r="O114" s="13"/>
      <c r="P114" s="16"/>
      <c r="Q114" s="13"/>
      <c r="R114" s="13"/>
      <c r="S114" s="13"/>
      <c r="T114" s="13"/>
      <c r="U114" s="13"/>
      <c r="V114" s="13"/>
      <c r="W114" s="13"/>
      <c r="X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</row>
    <row r="115" spans="1:48" ht="13.05" customHeight="1" x14ac:dyDescent="0.3">
      <c r="A115" s="13"/>
      <c r="B115" s="34" t="str">
        <f t="shared" si="3"/>
        <v/>
      </c>
      <c r="C115" s="13"/>
      <c r="D115" s="13"/>
      <c r="E115" s="13"/>
      <c r="F115" s="13"/>
      <c r="G115" s="16"/>
      <c r="H115" s="13"/>
      <c r="I115" s="13"/>
      <c r="J115" s="13"/>
      <c r="K115" s="16"/>
      <c r="L115" s="13"/>
      <c r="M115" s="13"/>
      <c r="N115" s="13"/>
      <c r="O115" s="13"/>
      <c r="P115" s="16"/>
      <c r="Q115" s="13"/>
      <c r="R115" s="13"/>
      <c r="S115" s="13"/>
      <c r="T115" s="13"/>
      <c r="U115" s="13"/>
      <c r="V115" s="13"/>
      <c r="W115" s="13"/>
      <c r="X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</row>
    <row r="116" spans="1:48" ht="13.05" customHeight="1" x14ac:dyDescent="0.3">
      <c r="A116" s="13"/>
      <c r="B116" s="34" t="str">
        <f t="shared" si="3"/>
        <v/>
      </c>
      <c r="C116" s="13"/>
      <c r="D116" s="13"/>
      <c r="E116" s="13"/>
      <c r="F116" s="13"/>
      <c r="G116" s="16"/>
      <c r="H116" s="13"/>
      <c r="I116" s="13"/>
      <c r="J116" s="13"/>
      <c r="K116" s="16"/>
      <c r="L116" s="13"/>
      <c r="M116" s="13"/>
      <c r="N116" s="13"/>
      <c r="O116" s="13"/>
      <c r="P116" s="16"/>
      <c r="Q116" s="13"/>
      <c r="R116" s="13"/>
      <c r="S116" s="13"/>
      <c r="T116" s="13"/>
      <c r="U116" s="13"/>
      <c r="V116" s="13"/>
      <c r="W116" s="13"/>
      <c r="X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</row>
    <row r="117" spans="1:48" ht="13.05" customHeight="1" x14ac:dyDescent="0.3">
      <c r="A117" s="13"/>
      <c r="B117" s="34" t="str">
        <f t="shared" si="3"/>
        <v/>
      </c>
      <c r="C117" s="13"/>
      <c r="D117" s="13"/>
      <c r="E117" s="13"/>
      <c r="F117" s="13"/>
      <c r="G117" s="16"/>
      <c r="H117" s="13"/>
      <c r="I117" s="13"/>
      <c r="J117" s="13"/>
      <c r="K117" s="16"/>
      <c r="L117" s="13"/>
      <c r="M117" s="13"/>
      <c r="N117" s="13"/>
      <c r="O117" s="13"/>
      <c r="P117" s="16"/>
      <c r="Q117" s="13"/>
      <c r="R117" s="13"/>
      <c r="S117" s="13"/>
      <c r="T117" s="13"/>
      <c r="U117" s="13"/>
      <c r="V117" s="13"/>
      <c r="W117" s="13"/>
      <c r="X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</row>
    <row r="118" spans="1:48" ht="13.05" customHeight="1" x14ac:dyDescent="0.3">
      <c r="A118" s="13"/>
      <c r="B118" s="34" t="str">
        <f t="shared" si="3"/>
        <v/>
      </c>
      <c r="C118" s="13"/>
      <c r="D118" s="13"/>
      <c r="E118" s="13"/>
      <c r="F118" s="13"/>
      <c r="G118" s="16"/>
      <c r="H118" s="13"/>
      <c r="I118" s="13"/>
      <c r="J118" s="13"/>
      <c r="K118" s="16"/>
      <c r="L118" s="13"/>
      <c r="M118" s="13"/>
      <c r="N118" s="13"/>
      <c r="O118" s="13"/>
      <c r="P118" s="16"/>
      <c r="Q118" s="13"/>
      <c r="R118" s="13"/>
      <c r="S118" s="13"/>
      <c r="T118" s="13"/>
      <c r="U118" s="13"/>
      <c r="V118" s="13"/>
      <c r="W118" s="13"/>
      <c r="X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</row>
    <row r="119" spans="1:48" ht="13.05" customHeight="1" x14ac:dyDescent="0.3">
      <c r="A119" s="13"/>
      <c r="B119" s="34" t="str">
        <f t="shared" si="3"/>
        <v/>
      </c>
      <c r="C119" s="13"/>
      <c r="D119" s="13"/>
      <c r="E119" s="13"/>
      <c r="F119" s="13"/>
      <c r="G119" s="16"/>
      <c r="H119" s="13"/>
      <c r="I119" s="13"/>
      <c r="J119" s="13"/>
      <c r="K119" s="16"/>
      <c r="L119" s="13"/>
      <c r="M119" s="13"/>
      <c r="N119" s="13"/>
      <c r="O119" s="13"/>
      <c r="P119" s="16"/>
      <c r="Q119" s="13"/>
      <c r="R119" s="13"/>
      <c r="S119" s="13"/>
      <c r="T119" s="13"/>
      <c r="U119" s="13"/>
      <c r="V119" s="13"/>
      <c r="W119" s="13"/>
      <c r="X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</row>
    <row r="120" spans="1:48" ht="13.05" customHeight="1" x14ac:dyDescent="0.3">
      <c r="A120" s="13"/>
      <c r="B120" s="34" t="str">
        <f t="shared" si="3"/>
        <v/>
      </c>
      <c r="C120" s="13"/>
      <c r="D120" s="13"/>
      <c r="E120" s="13"/>
      <c r="F120" s="13"/>
      <c r="G120" s="16"/>
      <c r="H120" s="13"/>
      <c r="I120" s="13"/>
      <c r="J120" s="13"/>
      <c r="K120" s="16"/>
      <c r="L120" s="13"/>
      <c r="M120" s="13"/>
      <c r="N120" s="13"/>
      <c r="O120" s="13"/>
      <c r="P120" s="16"/>
      <c r="Q120" s="13"/>
      <c r="R120" s="13"/>
      <c r="S120" s="13"/>
      <c r="T120" s="13"/>
      <c r="U120" s="13"/>
      <c r="V120" s="13"/>
      <c r="W120" s="13"/>
      <c r="X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</row>
    <row r="121" spans="1:48" ht="13.05" customHeight="1" x14ac:dyDescent="0.3">
      <c r="A121" s="13"/>
      <c r="B121" s="34" t="str">
        <f t="shared" si="3"/>
        <v/>
      </c>
      <c r="C121" s="13"/>
      <c r="D121" s="13"/>
      <c r="E121" s="13"/>
      <c r="F121" s="13"/>
      <c r="G121" s="16"/>
      <c r="H121" s="13"/>
      <c r="I121" s="13"/>
      <c r="J121" s="13"/>
      <c r="K121" s="16"/>
      <c r="L121" s="13"/>
      <c r="M121" s="13"/>
      <c r="N121" s="13"/>
      <c r="O121" s="13"/>
      <c r="P121" s="16"/>
      <c r="Q121" s="13"/>
      <c r="R121" s="13"/>
      <c r="S121" s="13"/>
      <c r="T121" s="13"/>
      <c r="U121" s="13"/>
      <c r="V121" s="13"/>
      <c r="W121" s="13"/>
      <c r="X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</row>
    <row r="122" spans="1:48" ht="13.05" customHeight="1" x14ac:dyDescent="0.3">
      <c r="A122" s="13"/>
      <c r="B122" s="34" t="str">
        <f t="shared" si="3"/>
        <v/>
      </c>
      <c r="C122" s="13"/>
      <c r="D122" s="13"/>
      <c r="E122" s="13"/>
      <c r="F122" s="13"/>
      <c r="G122" s="16"/>
      <c r="H122" s="13"/>
      <c r="I122" s="13"/>
      <c r="J122" s="13"/>
      <c r="K122" s="16"/>
      <c r="L122" s="13"/>
      <c r="M122" s="13"/>
      <c r="N122" s="13"/>
      <c r="O122" s="13"/>
      <c r="P122" s="16"/>
      <c r="Q122" s="13"/>
      <c r="R122" s="13"/>
      <c r="S122" s="13"/>
      <c r="T122" s="13"/>
      <c r="U122" s="13"/>
      <c r="V122" s="13"/>
      <c r="W122" s="13"/>
      <c r="X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</row>
    <row r="123" spans="1:48" ht="13.05" customHeight="1" x14ac:dyDescent="0.3">
      <c r="A123" s="13"/>
      <c r="B123" s="34" t="str">
        <f t="shared" si="3"/>
        <v/>
      </c>
      <c r="C123" s="13"/>
      <c r="D123" s="13"/>
      <c r="E123" s="13"/>
      <c r="F123" s="13"/>
      <c r="G123" s="16"/>
      <c r="H123" s="13"/>
      <c r="I123" s="13"/>
      <c r="J123" s="13"/>
      <c r="K123" s="16"/>
      <c r="L123" s="13"/>
      <c r="M123" s="13"/>
      <c r="N123" s="13"/>
      <c r="O123" s="13"/>
      <c r="P123" s="16"/>
      <c r="Q123" s="13"/>
      <c r="R123" s="13"/>
      <c r="S123" s="13"/>
      <c r="T123" s="13"/>
      <c r="U123" s="13"/>
      <c r="V123" s="13"/>
      <c r="W123" s="13"/>
      <c r="X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</row>
    <row r="124" spans="1:48" ht="13.05" customHeight="1" x14ac:dyDescent="0.3">
      <c r="A124" s="13"/>
      <c r="B124" s="34" t="str">
        <f t="shared" si="3"/>
        <v/>
      </c>
      <c r="C124" s="13"/>
      <c r="D124" s="13"/>
      <c r="E124" s="13"/>
      <c r="F124" s="13"/>
      <c r="G124" s="16"/>
      <c r="H124" s="13"/>
      <c r="I124" s="13"/>
      <c r="J124" s="13"/>
      <c r="K124" s="16"/>
      <c r="L124" s="13"/>
      <c r="M124" s="13"/>
      <c r="N124" s="13"/>
      <c r="O124" s="13"/>
      <c r="P124" s="16"/>
      <c r="Q124" s="13"/>
      <c r="R124" s="13"/>
      <c r="S124" s="13"/>
      <c r="T124" s="13"/>
      <c r="U124" s="13"/>
      <c r="V124" s="13"/>
      <c r="W124" s="13"/>
      <c r="X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</row>
    <row r="125" spans="1:48" ht="13.05" customHeight="1" x14ac:dyDescent="0.3">
      <c r="A125" s="13"/>
      <c r="B125" s="34" t="str">
        <f t="shared" si="3"/>
        <v/>
      </c>
      <c r="C125" s="13"/>
      <c r="D125" s="13"/>
      <c r="E125" s="13"/>
      <c r="F125" s="13"/>
      <c r="G125" s="16"/>
      <c r="H125" s="13"/>
      <c r="I125" s="13"/>
      <c r="J125" s="13"/>
      <c r="K125" s="16"/>
      <c r="L125" s="13"/>
      <c r="M125" s="13"/>
      <c r="N125" s="13"/>
      <c r="O125" s="13"/>
      <c r="P125" s="16"/>
      <c r="Q125" s="13"/>
      <c r="R125" s="13"/>
      <c r="S125" s="13"/>
      <c r="T125" s="13"/>
      <c r="U125" s="13"/>
      <c r="V125" s="13"/>
      <c r="W125" s="13"/>
      <c r="X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</row>
    <row r="126" spans="1:48" ht="13.05" customHeight="1" x14ac:dyDescent="0.3">
      <c r="A126" s="13"/>
      <c r="B126" s="34" t="str">
        <f t="shared" si="3"/>
        <v/>
      </c>
      <c r="C126" s="13"/>
      <c r="D126" s="13"/>
      <c r="E126" s="13"/>
      <c r="F126" s="13"/>
      <c r="G126" s="16"/>
      <c r="H126" s="13"/>
      <c r="I126" s="13"/>
      <c r="J126" s="13"/>
      <c r="K126" s="16"/>
      <c r="L126" s="13"/>
      <c r="M126" s="13"/>
      <c r="N126" s="13"/>
      <c r="O126" s="13"/>
      <c r="P126" s="16"/>
      <c r="Q126" s="13"/>
      <c r="R126" s="13"/>
      <c r="S126" s="13"/>
      <c r="T126" s="13"/>
      <c r="U126" s="13"/>
      <c r="V126" s="13"/>
      <c r="W126" s="13"/>
      <c r="X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</row>
    <row r="127" spans="1:48" ht="13.05" customHeight="1" x14ac:dyDescent="0.3">
      <c r="A127" s="13"/>
      <c r="B127" s="34" t="str">
        <f t="shared" si="3"/>
        <v/>
      </c>
      <c r="C127" s="13"/>
      <c r="D127" s="13"/>
      <c r="E127" s="13"/>
      <c r="F127" s="13"/>
      <c r="G127" s="16"/>
      <c r="H127" s="13"/>
      <c r="I127" s="13"/>
      <c r="J127" s="13"/>
      <c r="K127" s="16"/>
      <c r="L127" s="13"/>
      <c r="M127" s="13"/>
      <c r="N127" s="13"/>
      <c r="O127" s="13"/>
      <c r="P127" s="16"/>
      <c r="Q127" s="13"/>
      <c r="R127" s="13"/>
      <c r="S127" s="13"/>
      <c r="T127" s="13"/>
      <c r="U127" s="13"/>
      <c r="V127" s="13"/>
      <c r="W127" s="13"/>
      <c r="X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</row>
    <row r="128" spans="1:48" ht="13.05" customHeight="1" x14ac:dyDescent="0.3">
      <c r="A128" s="13"/>
      <c r="B128" s="34" t="str">
        <f t="shared" si="3"/>
        <v/>
      </c>
      <c r="C128" s="13"/>
      <c r="D128" s="13"/>
      <c r="E128" s="13"/>
      <c r="F128" s="13"/>
      <c r="G128" s="16"/>
      <c r="H128" s="13"/>
      <c r="I128" s="13"/>
      <c r="J128" s="13"/>
      <c r="K128" s="16"/>
      <c r="L128" s="13"/>
      <c r="M128" s="13"/>
      <c r="N128" s="13"/>
      <c r="O128" s="13"/>
      <c r="P128" s="16"/>
      <c r="Q128" s="13"/>
      <c r="R128" s="13"/>
      <c r="S128" s="13"/>
      <c r="T128" s="13"/>
      <c r="U128" s="13"/>
      <c r="V128" s="13"/>
      <c r="W128" s="13"/>
      <c r="X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</row>
    <row r="129" spans="1:48" ht="13.05" customHeight="1" x14ac:dyDescent="0.3">
      <c r="A129" s="13"/>
      <c r="B129" s="34" t="str">
        <f t="shared" si="3"/>
        <v/>
      </c>
      <c r="C129" s="13"/>
      <c r="D129" s="13"/>
      <c r="E129" s="13"/>
      <c r="F129" s="13"/>
      <c r="G129" s="16"/>
      <c r="H129" s="13"/>
      <c r="I129" s="13"/>
      <c r="J129" s="13"/>
      <c r="K129" s="16"/>
      <c r="L129" s="13"/>
      <c r="M129" s="13"/>
      <c r="N129" s="13"/>
      <c r="O129" s="13"/>
      <c r="P129" s="16"/>
      <c r="Q129" s="13"/>
      <c r="R129" s="13"/>
      <c r="S129" s="13"/>
      <c r="T129" s="13"/>
      <c r="U129" s="13"/>
      <c r="V129" s="13"/>
      <c r="W129" s="13"/>
      <c r="X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</row>
    <row r="130" spans="1:48" ht="13.05" customHeight="1" x14ac:dyDescent="0.3">
      <c r="A130" s="13"/>
      <c r="B130" s="34" t="str">
        <f t="shared" si="3"/>
        <v/>
      </c>
      <c r="C130" s="13"/>
      <c r="D130" s="13"/>
      <c r="E130" s="13"/>
      <c r="F130" s="13"/>
      <c r="G130" s="16"/>
      <c r="H130" s="13"/>
      <c r="I130" s="13"/>
      <c r="J130" s="13"/>
      <c r="K130" s="16"/>
      <c r="L130" s="13"/>
      <c r="M130" s="13"/>
      <c r="N130" s="13"/>
      <c r="O130" s="13"/>
      <c r="P130" s="16"/>
      <c r="Q130" s="13"/>
      <c r="R130" s="13"/>
      <c r="S130" s="13"/>
      <c r="T130" s="13"/>
      <c r="U130" s="13"/>
      <c r="V130" s="13"/>
      <c r="W130" s="13"/>
      <c r="X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</row>
    <row r="131" spans="1:48" ht="13.05" customHeight="1" x14ac:dyDescent="0.3">
      <c r="A131" s="13"/>
      <c r="B131" s="34" t="str">
        <f t="shared" si="3"/>
        <v/>
      </c>
      <c r="C131" s="13"/>
      <c r="D131" s="13"/>
      <c r="E131" s="13"/>
      <c r="F131" s="13"/>
      <c r="G131" s="16"/>
      <c r="H131" s="13"/>
      <c r="I131" s="13"/>
      <c r="J131" s="13"/>
      <c r="K131" s="16"/>
      <c r="L131" s="13"/>
      <c r="M131" s="13"/>
      <c r="N131" s="13"/>
      <c r="O131" s="13"/>
      <c r="P131" s="16"/>
      <c r="Q131" s="13"/>
      <c r="R131" s="13"/>
      <c r="S131" s="13"/>
      <c r="T131" s="13"/>
      <c r="U131" s="13"/>
      <c r="V131" s="13"/>
      <c r="W131" s="13"/>
      <c r="X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</row>
    <row r="132" spans="1:48" ht="13.05" customHeight="1" x14ac:dyDescent="0.3">
      <c r="A132" s="13"/>
      <c r="B132" s="34" t="str">
        <f t="shared" si="3"/>
        <v/>
      </c>
      <c r="C132" s="13"/>
      <c r="D132" s="13"/>
      <c r="E132" s="13"/>
      <c r="F132" s="13"/>
      <c r="G132" s="16"/>
      <c r="H132" s="13"/>
      <c r="I132" s="13"/>
      <c r="J132" s="13"/>
      <c r="K132" s="16"/>
      <c r="L132" s="13"/>
      <c r="M132" s="13"/>
      <c r="N132" s="13"/>
      <c r="O132" s="13"/>
      <c r="P132" s="16"/>
      <c r="Q132" s="13"/>
      <c r="R132" s="13"/>
      <c r="S132" s="13"/>
      <c r="T132" s="13"/>
      <c r="U132" s="13"/>
      <c r="V132" s="13"/>
      <c r="W132" s="13"/>
      <c r="X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</row>
    <row r="133" spans="1:48" ht="13.05" customHeight="1" x14ac:dyDescent="0.3">
      <c r="A133" s="13"/>
      <c r="B133" s="34" t="str">
        <f t="shared" si="3"/>
        <v/>
      </c>
      <c r="C133" s="13"/>
      <c r="D133" s="13"/>
      <c r="E133" s="13"/>
      <c r="F133" s="13"/>
      <c r="G133" s="16"/>
      <c r="H133" s="13"/>
      <c r="I133" s="13"/>
      <c r="J133" s="13"/>
      <c r="K133" s="16"/>
      <c r="L133" s="13"/>
      <c r="M133" s="13"/>
      <c r="N133" s="13"/>
      <c r="O133" s="13"/>
      <c r="P133" s="16"/>
      <c r="Q133" s="13"/>
      <c r="R133" s="13"/>
      <c r="S133" s="13"/>
      <c r="T133" s="13"/>
      <c r="U133" s="13"/>
      <c r="V133" s="13"/>
      <c r="W133" s="13"/>
      <c r="X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</row>
    <row r="134" spans="1:48" ht="13.05" customHeight="1" x14ac:dyDescent="0.3">
      <c r="A134" s="13"/>
      <c r="B134" s="34" t="str">
        <f t="shared" ref="B134:B155" si="4">IF(COUNTA(C134,D134,E134,H134,I134)=0,"","I"&amp;TEXT(ROW()-5,"000"))</f>
        <v/>
      </c>
      <c r="C134" s="13"/>
      <c r="D134" s="13"/>
      <c r="E134" s="13"/>
      <c r="F134" s="13"/>
      <c r="G134" s="16"/>
      <c r="H134" s="13"/>
      <c r="I134" s="13"/>
      <c r="J134" s="13"/>
      <c r="K134" s="16"/>
      <c r="L134" s="13"/>
      <c r="M134" s="13"/>
      <c r="N134" s="13"/>
      <c r="O134" s="13"/>
      <c r="P134" s="16"/>
      <c r="Q134" s="13"/>
      <c r="R134" s="13"/>
      <c r="S134" s="13"/>
      <c r="T134" s="13"/>
      <c r="U134" s="13"/>
      <c r="V134" s="13"/>
      <c r="W134" s="13"/>
      <c r="X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</row>
    <row r="135" spans="1:48" ht="13.05" customHeight="1" x14ac:dyDescent="0.3">
      <c r="A135" s="13"/>
      <c r="B135" s="34" t="str">
        <f t="shared" si="4"/>
        <v/>
      </c>
      <c r="C135" s="13"/>
      <c r="D135" s="13"/>
      <c r="E135" s="13"/>
      <c r="F135" s="13"/>
      <c r="G135" s="16"/>
      <c r="H135" s="13"/>
      <c r="I135" s="13"/>
      <c r="J135" s="13"/>
      <c r="K135" s="16"/>
      <c r="L135" s="13"/>
      <c r="M135" s="13"/>
      <c r="N135" s="13"/>
      <c r="O135" s="13"/>
      <c r="P135" s="16"/>
      <c r="Q135" s="13"/>
      <c r="R135" s="13"/>
      <c r="S135" s="13"/>
      <c r="T135" s="13"/>
      <c r="U135" s="13"/>
      <c r="V135" s="13"/>
      <c r="W135" s="13"/>
      <c r="X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</row>
    <row r="136" spans="1:48" ht="13.05" customHeight="1" x14ac:dyDescent="0.3">
      <c r="A136" s="13"/>
      <c r="B136" s="34" t="str">
        <f t="shared" si="4"/>
        <v/>
      </c>
      <c r="C136" s="13"/>
      <c r="D136" s="13"/>
      <c r="E136" s="13"/>
      <c r="F136" s="13"/>
      <c r="G136" s="16"/>
      <c r="H136" s="13"/>
      <c r="I136" s="13"/>
      <c r="J136" s="13"/>
      <c r="K136" s="16"/>
      <c r="L136" s="13"/>
      <c r="M136" s="13"/>
      <c r="N136" s="13"/>
      <c r="O136" s="13"/>
      <c r="P136" s="16"/>
      <c r="Q136" s="13"/>
      <c r="R136" s="13"/>
      <c r="S136" s="13"/>
      <c r="T136" s="13"/>
      <c r="U136" s="13"/>
      <c r="V136" s="13"/>
      <c r="W136" s="13"/>
      <c r="X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</row>
    <row r="137" spans="1:48" ht="13.05" customHeight="1" x14ac:dyDescent="0.3">
      <c r="A137" s="13"/>
      <c r="B137" s="34" t="str">
        <f t="shared" si="4"/>
        <v/>
      </c>
      <c r="C137" s="13"/>
      <c r="D137" s="13"/>
      <c r="E137" s="13"/>
      <c r="F137" s="13"/>
      <c r="G137" s="16"/>
      <c r="H137" s="13"/>
      <c r="I137" s="13"/>
      <c r="J137" s="13"/>
      <c r="K137" s="16"/>
      <c r="L137" s="13"/>
      <c r="M137" s="13"/>
      <c r="N137" s="13"/>
      <c r="O137" s="13"/>
      <c r="P137" s="16"/>
      <c r="Q137" s="13"/>
      <c r="R137" s="13"/>
      <c r="S137" s="13"/>
      <c r="T137" s="13"/>
      <c r="U137" s="13"/>
      <c r="V137" s="13"/>
      <c r="W137" s="13"/>
      <c r="X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</row>
    <row r="138" spans="1:48" ht="13.05" customHeight="1" x14ac:dyDescent="0.3">
      <c r="A138" s="13"/>
      <c r="B138" s="34" t="str">
        <f t="shared" si="4"/>
        <v/>
      </c>
      <c r="C138" s="13"/>
      <c r="D138" s="13"/>
      <c r="E138" s="13"/>
      <c r="F138" s="13"/>
      <c r="G138" s="16"/>
      <c r="H138" s="13"/>
      <c r="I138" s="13"/>
      <c r="J138" s="13"/>
      <c r="K138" s="16"/>
      <c r="L138" s="13"/>
      <c r="M138" s="13"/>
      <c r="N138" s="13"/>
      <c r="O138" s="13"/>
      <c r="P138" s="16"/>
      <c r="Q138" s="13"/>
      <c r="R138" s="13"/>
      <c r="S138" s="13"/>
      <c r="T138" s="13"/>
      <c r="U138" s="13"/>
      <c r="V138" s="13"/>
      <c r="W138" s="13"/>
      <c r="X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</row>
    <row r="139" spans="1:48" ht="13.05" customHeight="1" x14ac:dyDescent="0.3">
      <c r="A139" s="13"/>
      <c r="B139" s="34" t="str">
        <f t="shared" si="4"/>
        <v/>
      </c>
      <c r="C139" s="13"/>
      <c r="D139" s="13"/>
      <c r="E139" s="13"/>
      <c r="F139" s="13"/>
      <c r="G139" s="16"/>
      <c r="H139" s="13"/>
      <c r="I139" s="13"/>
      <c r="J139" s="13"/>
      <c r="K139" s="16"/>
      <c r="L139" s="13"/>
      <c r="M139" s="13"/>
      <c r="N139" s="13"/>
      <c r="O139" s="13"/>
      <c r="P139" s="16"/>
      <c r="Q139" s="13"/>
      <c r="R139" s="13"/>
      <c r="S139" s="13"/>
      <c r="T139" s="13"/>
      <c r="U139" s="13"/>
      <c r="V139" s="13"/>
      <c r="W139" s="13"/>
      <c r="X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</row>
    <row r="140" spans="1:48" ht="13.05" customHeight="1" x14ac:dyDescent="0.3">
      <c r="A140" s="13"/>
      <c r="B140" s="34" t="str">
        <f t="shared" si="4"/>
        <v/>
      </c>
      <c r="C140" s="13"/>
      <c r="D140" s="13"/>
      <c r="E140" s="13"/>
      <c r="F140" s="13"/>
      <c r="G140" s="16"/>
      <c r="H140" s="13"/>
      <c r="I140" s="13"/>
      <c r="J140" s="13"/>
      <c r="K140" s="16"/>
      <c r="L140" s="13"/>
      <c r="M140" s="13"/>
      <c r="N140" s="13"/>
      <c r="O140" s="13"/>
      <c r="P140" s="16"/>
      <c r="Q140" s="13"/>
      <c r="R140" s="13"/>
      <c r="S140" s="13"/>
      <c r="T140" s="13"/>
      <c r="U140" s="13"/>
      <c r="V140" s="13"/>
      <c r="W140" s="13"/>
      <c r="X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</row>
    <row r="141" spans="1:48" ht="13.05" customHeight="1" x14ac:dyDescent="0.3">
      <c r="A141" s="13"/>
      <c r="B141" s="34" t="str">
        <f t="shared" si="4"/>
        <v/>
      </c>
      <c r="C141" s="13"/>
      <c r="D141" s="13"/>
      <c r="E141" s="13"/>
      <c r="F141" s="13"/>
      <c r="G141" s="16"/>
      <c r="H141" s="13"/>
      <c r="I141" s="13"/>
      <c r="J141" s="13"/>
      <c r="K141" s="16"/>
      <c r="L141" s="13"/>
      <c r="M141" s="13"/>
      <c r="N141" s="13"/>
      <c r="O141" s="13"/>
      <c r="P141" s="16"/>
      <c r="Q141" s="13"/>
      <c r="R141" s="13"/>
      <c r="S141" s="13"/>
      <c r="T141" s="13"/>
      <c r="U141" s="13"/>
      <c r="V141" s="13"/>
      <c r="W141" s="13"/>
      <c r="X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</row>
    <row r="142" spans="1:48" ht="13.05" customHeight="1" x14ac:dyDescent="0.3">
      <c r="A142" s="13"/>
      <c r="B142" s="34" t="str">
        <f t="shared" si="4"/>
        <v/>
      </c>
      <c r="C142" s="13"/>
      <c r="D142" s="13"/>
      <c r="E142" s="13"/>
      <c r="F142" s="13"/>
      <c r="G142" s="16"/>
      <c r="H142" s="13"/>
      <c r="I142" s="13"/>
      <c r="J142" s="13"/>
      <c r="K142" s="16"/>
      <c r="L142" s="13"/>
      <c r="M142" s="13"/>
      <c r="N142" s="13"/>
      <c r="O142" s="13"/>
      <c r="P142" s="16"/>
      <c r="Q142" s="13"/>
      <c r="R142" s="13"/>
      <c r="S142" s="13"/>
      <c r="T142" s="13"/>
      <c r="U142" s="13"/>
      <c r="V142" s="13"/>
      <c r="W142" s="13"/>
      <c r="X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</row>
    <row r="143" spans="1:48" ht="13.05" customHeight="1" x14ac:dyDescent="0.3">
      <c r="A143" s="13"/>
      <c r="B143" s="34" t="str">
        <f t="shared" si="4"/>
        <v/>
      </c>
      <c r="C143" s="13"/>
      <c r="D143" s="13"/>
      <c r="E143" s="13"/>
      <c r="F143" s="13"/>
      <c r="G143" s="16"/>
      <c r="H143" s="13"/>
      <c r="I143" s="13"/>
      <c r="J143" s="13"/>
      <c r="K143" s="16"/>
      <c r="L143" s="13"/>
      <c r="M143" s="13"/>
      <c r="N143" s="13"/>
      <c r="O143" s="13"/>
      <c r="P143" s="16"/>
      <c r="Q143" s="13"/>
      <c r="R143" s="13"/>
      <c r="S143" s="13"/>
      <c r="T143" s="13"/>
      <c r="U143" s="13"/>
      <c r="V143" s="13"/>
      <c r="W143" s="13"/>
      <c r="X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</row>
    <row r="144" spans="1:48" ht="13.05" customHeight="1" x14ac:dyDescent="0.3">
      <c r="A144" s="13"/>
      <c r="B144" s="34" t="str">
        <f t="shared" si="4"/>
        <v/>
      </c>
      <c r="C144" s="13"/>
      <c r="D144" s="13"/>
      <c r="E144" s="13"/>
      <c r="F144" s="13"/>
      <c r="G144" s="16"/>
      <c r="H144" s="13"/>
      <c r="I144" s="13"/>
      <c r="J144" s="13"/>
      <c r="K144" s="16"/>
      <c r="L144" s="13"/>
      <c r="M144" s="13"/>
      <c r="N144" s="13"/>
      <c r="O144" s="13"/>
      <c r="P144" s="16"/>
      <c r="Q144" s="13"/>
      <c r="R144" s="13"/>
      <c r="S144" s="13"/>
      <c r="T144" s="13"/>
      <c r="U144" s="13"/>
      <c r="V144" s="13"/>
      <c r="W144" s="13"/>
      <c r="X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</row>
    <row r="145" spans="1:48" ht="13.05" customHeight="1" x14ac:dyDescent="0.3">
      <c r="A145" s="13"/>
      <c r="B145" s="34" t="str">
        <f t="shared" si="4"/>
        <v/>
      </c>
      <c r="C145" s="13"/>
      <c r="D145" s="13"/>
      <c r="E145" s="13"/>
      <c r="F145" s="13"/>
      <c r="G145" s="16"/>
      <c r="H145" s="13"/>
      <c r="I145" s="13"/>
      <c r="J145" s="13"/>
      <c r="K145" s="16"/>
      <c r="L145" s="13"/>
      <c r="M145" s="13"/>
      <c r="N145" s="13"/>
      <c r="O145" s="13"/>
      <c r="P145" s="16"/>
      <c r="Q145" s="13"/>
      <c r="R145" s="13"/>
      <c r="S145" s="13"/>
      <c r="T145" s="13"/>
      <c r="U145" s="13"/>
      <c r="V145" s="13"/>
      <c r="W145" s="13"/>
      <c r="X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</row>
    <row r="146" spans="1:48" ht="13.05" customHeight="1" x14ac:dyDescent="0.3">
      <c r="A146" s="13"/>
      <c r="B146" s="34" t="str">
        <f t="shared" si="4"/>
        <v/>
      </c>
      <c r="C146" s="13"/>
      <c r="D146" s="13"/>
      <c r="E146" s="13"/>
      <c r="F146" s="13"/>
      <c r="G146" s="16"/>
      <c r="H146" s="13"/>
      <c r="I146" s="13"/>
      <c r="J146" s="13"/>
      <c r="K146" s="16"/>
      <c r="L146" s="13"/>
      <c r="M146" s="13"/>
      <c r="N146" s="13"/>
      <c r="O146" s="13"/>
      <c r="P146" s="16"/>
      <c r="Q146" s="13"/>
      <c r="R146" s="13"/>
      <c r="S146" s="13"/>
      <c r="T146" s="13"/>
      <c r="U146" s="13"/>
      <c r="V146" s="13"/>
      <c r="W146" s="13"/>
      <c r="X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</row>
    <row r="147" spans="1:48" ht="13.05" customHeight="1" x14ac:dyDescent="0.3">
      <c r="A147" s="13"/>
      <c r="B147" s="34" t="str">
        <f t="shared" si="4"/>
        <v/>
      </c>
      <c r="C147" s="13"/>
      <c r="D147" s="13"/>
      <c r="E147" s="13"/>
      <c r="F147" s="13"/>
      <c r="G147" s="16"/>
      <c r="H147" s="13"/>
      <c r="I147" s="13"/>
      <c r="J147" s="13"/>
      <c r="K147" s="16"/>
      <c r="L147" s="13"/>
      <c r="M147" s="13"/>
      <c r="N147" s="13"/>
      <c r="O147" s="13"/>
      <c r="P147" s="16"/>
      <c r="Q147" s="13"/>
      <c r="R147" s="13"/>
      <c r="S147" s="13"/>
      <c r="T147" s="13"/>
      <c r="U147" s="13"/>
      <c r="V147" s="13"/>
      <c r="W147" s="13"/>
      <c r="X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</row>
    <row r="148" spans="1:48" ht="13.05" customHeight="1" x14ac:dyDescent="0.3">
      <c r="A148" s="13"/>
      <c r="B148" s="34" t="str">
        <f t="shared" si="4"/>
        <v/>
      </c>
      <c r="C148" s="13"/>
      <c r="D148" s="13"/>
      <c r="E148" s="13"/>
      <c r="F148" s="13"/>
      <c r="G148" s="16"/>
      <c r="H148" s="13"/>
      <c r="I148" s="13"/>
      <c r="J148" s="13"/>
      <c r="K148" s="16"/>
      <c r="L148" s="13"/>
      <c r="M148" s="13"/>
      <c r="N148" s="13"/>
      <c r="O148" s="13"/>
      <c r="P148" s="16"/>
      <c r="Q148" s="13"/>
      <c r="R148" s="13"/>
      <c r="S148" s="13"/>
      <c r="T148" s="13"/>
      <c r="U148" s="13"/>
      <c r="V148" s="13"/>
      <c r="W148" s="13"/>
      <c r="X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</row>
    <row r="149" spans="1:48" ht="13.05" customHeight="1" x14ac:dyDescent="0.3">
      <c r="A149" s="13"/>
      <c r="B149" s="34" t="str">
        <f t="shared" si="4"/>
        <v/>
      </c>
      <c r="C149" s="13"/>
      <c r="D149" s="13"/>
      <c r="E149" s="13"/>
      <c r="F149" s="13"/>
      <c r="G149" s="16"/>
      <c r="H149" s="13"/>
      <c r="I149" s="13"/>
      <c r="J149" s="13"/>
      <c r="K149" s="16"/>
      <c r="L149" s="13"/>
      <c r="M149" s="13"/>
      <c r="N149" s="13"/>
      <c r="O149" s="13"/>
      <c r="P149" s="16"/>
      <c r="Q149" s="13"/>
      <c r="R149" s="13"/>
      <c r="S149" s="13"/>
      <c r="T149" s="13"/>
      <c r="U149" s="13"/>
      <c r="V149" s="13"/>
      <c r="W149" s="13"/>
      <c r="X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</row>
    <row r="150" spans="1:48" ht="13.05" customHeight="1" x14ac:dyDescent="0.3">
      <c r="A150" s="13"/>
      <c r="B150" s="34" t="str">
        <f t="shared" si="4"/>
        <v/>
      </c>
      <c r="C150" s="13"/>
      <c r="D150" s="13"/>
      <c r="E150" s="13"/>
      <c r="F150" s="13"/>
      <c r="G150" s="16"/>
      <c r="H150" s="13"/>
      <c r="I150" s="13"/>
      <c r="J150" s="13"/>
      <c r="K150" s="16"/>
      <c r="L150" s="13"/>
      <c r="M150" s="13"/>
      <c r="N150" s="13"/>
      <c r="O150" s="13"/>
      <c r="P150" s="16"/>
      <c r="Q150" s="13"/>
      <c r="R150" s="13"/>
      <c r="S150" s="13"/>
      <c r="T150" s="13"/>
      <c r="U150" s="13"/>
      <c r="V150" s="13"/>
      <c r="W150" s="13"/>
      <c r="X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</row>
    <row r="151" spans="1:48" ht="13.05" customHeight="1" x14ac:dyDescent="0.3">
      <c r="A151" s="13"/>
      <c r="B151" s="34" t="str">
        <f t="shared" si="4"/>
        <v/>
      </c>
      <c r="C151" s="13"/>
      <c r="D151" s="13"/>
      <c r="E151" s="13"/>
      <c r="F151" s="13"/>
      <c r="G151" s="16"/>
      <c r="H151" s="13"/>
      <c r="I151" s="13"/>
      <c r="J151" s="13"/>
      <c r="K151" s="16"/>
      <c r="L151" s="13"/>
      <c r="M151" s="13"/>
      <c r="N151" s="13"/>
      <c r="O151" s="13"/>
      <c r="P151" s="16"/>
      <c r="Q151" s="13"/>
      <c r="R151" s="13"/>
      <c r="S151" s="13"/>
      <c r="T151" s="13"/>
      <c r="U151" s="13"/>
      <c r="V151" s="13"/>
      <c r="W151" s="13"/>
      <c r="X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</row>
    <row r="152" spans="1:48" ht="13.05" customHeight="1" x14ac:dyDescent="0.3">
      <c r="A152" s="13"/>
      <c r="B152" s="34" t="str">
        <f t="shared" si="4"/>
        <v/>
      </c>
      <c r="C152" s="13"/>
      <c r="D152" s="13"/>
      <c r="E152" s="13"/>
      <c r="F152" s="13"/>
      <c r="G152" s="16"/>
      <c r="H152" s="13"/>
      <c r="I152" s="13"/>
      <c r="J152" s="13"/>
      <c r="K152" s="16"/>
      <c r="L152" s="13"/>
      <c r="M152" s="13"/>
      <c r="N152" s="13"/>
      <c r="O152" s="13"/>
      <c r="P152" s="16"/>
      <c r="Q152" s="13"/>
      <c r="R152" s="13"/>
      <c r="S152" s="13"/>
      <c r="T152" s="13"/>
      <c r="U152" s="13"/>
      <c r="V152" s="13"/>
      <c r="W152" s="13"/>
      <c r="X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</row>
    <row r="153" spans="1:48" ht="13.05" customHeight="1" x14ac:dyDescent="0.3">
      <c r="A153" s="13"/>
      <c r="B153" s="34" t="str">
        <f t="shared" si="4"/>
        <v/>
      </c>
      <c r="C153" s="13"/>
      <c r="D153" s="13"/>
      <c r="E153" s="13"/>
      <c r="F153" s="13"/>
      <c r="G153" s="16"/>
      <c r="H153" s="13"/>
      <c r="I153" s="13"/>
      <c r="J153" s="13"/>
      <c r="K153" s="16"/>
      <c r="L153" s="13"/>
      <c r="M153" s="13"/>
      <c r="N153" s="13"/>
      <c r="O153" s="13"/>
      <c r="P153" s="16"/>
      <c r="Q153" s="13"/>
      <c r="R153" s="13"/>
      <c r="S153" s="13"/>
      <c r="T153" s="13"/>
      <c r="U153" s="13"/>
      <c r="V153" s="13"/>
      <c r="W153" s="13"/>
      <c r="X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</row>
    <row r="154" spans="1:48" ht="13.05" customHeight="1" x14ac:dyDescent="0.3">
      <c r="A154" s="13"/>
      <c r="B154" s="34" t="str">
        <f t="shared" si="4"/>
        <v/>
      </c>
      <c r="C154" s="13"/>
      <c r="D154" s="13"/>
      <c r="E154" s="13"/>
      <c r="F154" s="13"/>
      <c r="G154" s="16"/>
      <c r="H154" s="13"/>
      <c r="I154" s="13"/>
      <c r="J154" s="13"/>
      <c r="K154" s="16"/>
      <c r="L154" s="13"/>
      <c r="M154" s="13"/>
      <c r="N154" s="13"/>
      <c r="O154" s="13"/>
      <c r="P154" s="16"/>
      <c r="Q154" s="13"/>
      <c r="R154" s="13"/>
      <c r="S154" s="13"/>
      <c r="T154" s="13"/>
      <c r="U154" s="13"/>
      <c r="V154" s="13"/>
      <c r="W154" s="13"/>
      <c r="X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</row>
    <row r="155" spans="1:48" ht="13.05" customHeight="1" x14ac:dyDescent="0.3">
      <c r="A155" s="13"/>
      <c r="B155" s="34" t="str">
        <f t="shared" si="4"/>
        <v/>
      </c>
      <c r="C155" s="13"/>
      <c r="D155" s="13"/>
      <c r="E155" s="13"/>
      <c r="F155" s="13"/>
      <c r="G155" s="16"/>
      <c r="H155" s="13"/>
      <c r="I155" s="13"/>
      <c r="J155" s="13"/>
      <c r="K155" s="16"/>
      <c r="L155" s="13"/>
      <c r="M155" s="13"/>
      <c r="N155" s="13"/>
      <c r="O155" s="13"/>
      <c r="P155" s="16"/>
      <c r="Q155" s="13"/>
      <c r="R155" s="13"/>
      <c r="S155" s="13"/>
      <c r="T155" s="13"/>
      <c r="U155" s="13"/>
      <c r="V155" s="13"/>
      <c r="W155" s="13"/>
      <c r="X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</row>
    <row r="156" spans="1:48" ht="13.05" customHeight="1" x14ac:dyDescent="0.3">
      <c r="A156" s="13"/>
      <c r="B156" s="13"/>
      <c r="C156" s="13"/>
      <c r="D156" s="13"/>
      <c r="E156" s="13"/>
      <c r="F156" s="13"/>
      <c r="G156" s="16"/>
      <c r="H156" s="13"/>
      <c r="I156" s="13"/>
      <c r="J156" s="13"/>
      <c r="K156" s="16"/>
      <c r="L156" s="13"/>
      <c r="M156" s="13"/>
      <c r="N156" s="13"/>
      <c r="O156" s="13"/>
      <c r="P156" s="16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</row>
    <row r="157" spans="1:48" ht="13.05" customHeight="1" x14ac:dyDescent="0.3">
      <c r="A157" s="13"/>
      <c r="B157" s="13"/>
      <c r="C157" s="13"/>
      <c r="D157" s="13"/>
      <c r="E157" s="13"/>
      <c r="F157" s="13"/>
      <c r="G157" s="16"/>
      <c r="H157" s="13"/>
      <c r="I157" s="13"/>
      <c r="J157" s="13"/>
      <c r="K157" s="16"/>
      <c r="L157" s="13"/>
      <c r="M157" s="13"/>
      <c r="N157" s="13"/>
      <c r="O157" s="13"/>
      <c r="P157" s="16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</row>
    <row r="158" spans="1:48" ht="13.05" customHeight="1" x14ac:dyDescent="0.3">
      <c r="A158" s="13"/>
      <c r="B158" s="13"/>
      <c r="C158" s="13"/>
      <c r="D158" s="13"/>
      <c r="E158" s="13"/>
      <c r="F158" s="13"/>
      <c r="G158" s="16"/>
      <c r="H158" s="13"/>
      <c r="I158" s="13"/>
      <c r="J158" s="13"/>
      <c r="K158" s="16"/>
      <c r="L158" s="13"/>
      <c r="M158" s="13"/>
      <c r="N158" s="13"/>
      <c r="O158" s="13"/>
      <c r="P158" s="16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</row>
    <row r="159" spans="1:48" ht="13.05" customHeight="1" x14ac:dyDescent="0.3">
      <c r="A159" s="13"/>
      <c r="B159" s="13"/>
      <c r="C159" s="13"/>
      <c r="D159" s="13"/>
      <c r="E159" s="13"/>
      <c r="F159" s="13"/>
      <c r="G159" s="16"/>
      <c r="H159" s="13"/>
      <c r="I159" s="13"/>
      <c r="J159" s="13"/>
      <c r="K159" s="16"/>
      <c r="L159" s="13"/>
      <c r="M159" s="13"/>
      <c r="N159" s="13"/>
      <c r="O159" s="13"/>
      <c r="P159" s="16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</row>
    <row r="160" spans="1:48" ht="13.05" customHeight="1" x14ac:dyDescent="0.3">
      <c r="A160" s="13"/>
      <c r="B160" s="13"/>
      <c r="C160" s="13"/>
      <c r="D160" s="13"/>
      <c r="E160" s="13"/>
      <c r="F160" s="13"/>
      <c r="G160" s="16"/>
      <c r="H160" s="13"/>
      <c r="I160" s="13"/>
      <c r="J160" s="13"/>
      <c r="K160" s="16"/>
      <c r="L160" s="13"/>
      <c r="M160" s="13"/>
      <c r="N160" s="13"/>
      <c r="O160" s="13"/>
      <c r="P160" s="16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</row>
    <row r="161" spans="1:48" ht="13.05" customHeight="1" x14ac:dyDescent="0.3">
      <c r="A161" s="13"/>
      <c r="B161" s="13"/>
      <c r="C161" s="13"/>
      <c r="D161" s="13"/>
      <c r="E161" s="13"/>
      <c r="F161" s="13"/>
      <c r="G161" s="16"/>
      <c r="H161" s="13"/>
      <c r="I161" s="13"/>
      <c r="J161" s="13"/>
      <c r="K161" s="16"/>
      <c r="L161" s="13"/>
      <c r="M161" s="13"/>
      <c r="N161" s="13"/>
      <c r="O161" s="13"/>
      <c r="P161" s="16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</row>
    <row r="162" spans="1:48" ht="13.05" customHeight="1" x14ac:dyDescent="0.3">
      <c r="A162" s="13"/>
      <c r="B162" s="13"/>
      <c r="C162" s="13"/>
      <c r="D162" s="13"/>
      <c r="E162" s="13"/>
      <c r="F162" s="13"/>
      <c r="G162" s="16"/>
      <c r="H162" s="13"/>
      <c r="I162" s="13"/>
      <c r="J162" s="13"/>
      <c r="K162" s="16"/>
      <c r="L162" s="13"/>
      <c r="M162" s="13"/>
      <c r="N162" s="13"/>
      <c r="O162" s="13"/>
      <c r="P162" s="16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</row>
    <row r="163" spans="1:48" ht="13.05" customHeight="1" x14ac:dyDescent="0.3">
      <c r="A163" s="13"/>
      <c r="B163" s="13"/>
      <c r="C163" s="13"/>
      <c r="D163" s="13"/>
      <c r="E163" s="13"/>
      <c r="F163" s="13"/>
      <c r="G163" s="16"/>
      <c r="H163" s="13"/>
      <c r="I163" s="13"/>
      <c r="J163" s="13"/>
      <c r="K163" s="16"/>
      <c r="L163" s="13"/>
      <c r="M163" s="13"/>
      <c r="N163" s="13"/>
      <c r="O163" s="13"/>
      <c r="P163" s="16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</row>
    <row r="164" spans="1:48" ht="13.05" customHeight="1" x14ac:dyDescent="0.3">
      <c r="A164" s="13"/>
      <c r="B164" s="13"/>
      <c r="C164" s="13"/>
      <c r="D164" s="13"/>
      <c r="E164" s="13"/>
      <c r="F164" s="13"/>
      <c r="G164" s="16"/>
      <c r="H164" s="13"/>
      <c r="I164" s="13"/>
      <c r="J164" s="13"/>
      <c r="K164" s="16"/>
      <c r="L164" s="13"/>
      <c r="M164" s="13"/>
      <c r="N164" s="13"/>
      <c r="O164" s="13"/>
      <c r="P164" s="16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</row>
    <row r="165" spans="1:48" ht="13.05" customHeight="1" x14ac:dyDescent="0.3">
      <c r="A165" s="13"/>
      <c r="B165" s="13"/>
      <c r="C165" s="13"/>
      <c r="D165" s="13"/>
      <c r="E165" s="13"/>
      <c r="F165" s="13"/>
      <c r="G165" s="16"/>
      <c r="H165" s="13"/>
      <c r="I165" s="13"/>
      <c r="J165" s="13"/>
      <c r="K165" s="16"/>
      <c r="L165" s="13"/>
      <c r="M165" s="13"/>
      <c r="N165" s="13"/>
      <c r="O165" s="13"/>
      <c r="P165" s="16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</row>
    <row r="166" spans="1:48" ht="13.05" customHeight="1" x14ac:dyDescent="0.3">
      <c r="A166" s="13"/>
      <c r="B166" s="13"/>
      <c r="C166" s="13"/>
      <c r="D166" s="13"/>
      <c r="E166" s="13"/>
      <c r="F166" s="13"/>
      <c r="G166" s="16"/>
      <c r="H166" s="13"/>
      <c r="I166" s="13"/>
      <c r="J166" s="13"/>
      <c r="K166" s="16"/>
      <c r="L166" s="13"/>
      <c r="M166" s="13"/>
      <c r="N166" s="13"/>
      <c r="O166" s="13"/>
      <c r="P166" s="16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</row>
    <row r="167" spans="1:48" ht="13.05" customHeight="1" x14ac:dyDescent="0.3">
      <c r="A167" s="13"/>
      <c r="B167" s="13"/>
      <c r="C167" s="13"/>
      <c r="D167" s="13"/>
      <c r="E167" s="13"/>
      <c r="F167" s="13"/>
      <c r="G167" s="16"/>
      <c r="H167" s="13"/>
      <c r="I167" s="13"/>
      <c r="J167" s="13"/>
      <c r="K167" s="16"/>
      <c r="L167" s="13"/>
      <c r="M167" s="13"/>
      <c r="N167" s="13"/>
      <c r="O167" s="13"/>
      <c r="P167" s="16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</row>
    <row r="168" spans="1:48" ht="13.05" customHeight="1" x14ac:dyDescent="0.3">
      <c r="A168" s="13"/>
      <c r="B168" s="13"/>
      <c r="C168" s="13"/>
      <c r="D168" s="13"/>
      <c r="E168" s="13"/>
      <c r="F168" s="13"/>
      <c r="G168" s="16"/>
      <c r="H168" s="13"/>
      <c r="I168" s="13"/>
      <c r="J168" s="13"/>
      <c r="K168" s="16"/>
      <c r="L168" s="13"/>
      <c r="M168" s="13"/>
      <c r="N168" s="13"/>
      <c r="O168" s="13"/>
      <c r="P168" s="16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</row>
    <row r="169" spans="1:48" ht="13.05" customHeight="1" x14ac:dyDescent="0.3">
      <c r="A169" s="13"/>
      <c r="B169" s="13"/>
      <c r="C169" s="13"/>
      <c r="D169" s="13"/>
      <c r="E169" s="13"/>
      <c r="F169" s="13"/>
      <c r="G169" s="16"/>
      <c r="H169" s="13"/>
      <c r="I169" s="13"/>
      <c r="J169" s="13"/>
      <c r="K169" s="16"/>
      <c r="L169" s="13"/>
      <c r="M169" s="13"/>
      <c r="N169" s="13"/>
      <c r="O169" s="13"/>
      <c r="P169" s="16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</row>
    <row r="170" spans="1:48" ht="13.05" customHeight="1" x14ac:dyDescent="0.3">
      <c r="A170" s="13"/>
      <c r="B170" s="13"/>
      <c r="C170" s="13"/>
      <c r="D170" s="13"/>
      <c r="E170" s="13"/>
      <c r="F170" s="13"/>
      <c r="G170" s="16"/>
      <c r="H170" s="13"/>
      <c r="I170" s="13"/>
      <c r="J170" s="13"/>
      <c r="K170" s="16"/>
      <c r="L170" s="13"/>
      <c r="M170" s="13"/>
      <c r="N170" s="13"/>
      <c r="O170" s="13"/>
      <c r="P170" s="16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</row>
    <row r="171" spans="1:48" ht="13.05" customHeight="1" x14ac:dyDescent="0.3">
      <c r="A171" s="13"/>
      <c r="B171" s="13"/>
      <c r="C171" s="13"/>
      <c r="D171" s="13"/>
      <c r="E171" s="13"/>
      <c r="F171" s="13"/>
      <c r="G171" s="16"/>
      <c r="H171" s="13"/>
      <c r="I171" s="13"/>
      <c r="J171" s="13"/>
      <c r="K171" s="16"/>
      <c r="L171" s="13"/>
      <c r="M171" s="13"/>
      <c r="N171" s="13"/>
      <c r="O171" s="13"/>
      <c r="P171" s="16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</row>
    <row r="172" spans="1:48" ht="13.05" customHeight="1" x14ac:dyDescent="0.3">
      <c r="A172" s="13"/>
      <c r="B172" s="13"/>
      <c r="C172" s="13"/>
      <c r="D172" s="13"/>
      <c r="E172" s="13"/>
      <c r="F172" s="13"/>
      <c r="G172" s="16"/>
      <c r="H172" s="13"/>
      <c r="I172" s="13"/>
      <c r="J172" s="13"/>
      <c r="K172" s="16"/>
      <c r="L172" s="13"/>
      <c r="M172" s="13"/>
      <c r="N172" s="13"/>
      <c r="O172" s="13"/>
      <c r="P172" s="16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</row>
    <row r="173" spans="1:48" ht="13.05" customHeight="1" x14ac:dyDescent="0.3">
      <c r="A173" s="13"/>
      <c r="B173" s="13"/>
      <c r="C173" s="13"/>
      <c r="D173" s="13"/>
      <c r="E173" s="13"/>
      <c r="F173" s="13"/>
      <c r="G173" s="16"/>
      <c r="H173" s="13"/>
      <c r="I173" s="13"/>
      <c r="J173" s="13"/>
      <c r="K173" s="16"/>
      <c r="L173" s="13"/>
      <c r="M173" s="13"/>
      <c r="N173" s="13"/>
      <c r="O173" s="13"/>
      <c r="P173" s="16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</row>
    <row r="174" spans="1:48" ht="13.05" customHeight="1" x14ac:dyDescent="0.3">
      <c r="A174" s="13"/>
      <c r="B174" s="13"/>
      <c r="C174" s="13"/>
      <c r="D174" s="13"/>
      <c r="E174" s="13"/>
      <c r="F174" s="13"/>
      <c r="G174" s="16"/>
      <c r="H174" s="13"/>
      <c r="I174" s="13"/>
      <c r="J174" s="13"/>
      <c r="K174" s="16"/>
      <c r="L174" s="13"/>
      <c r="M174" s="13"/>
      <c r="N174" s="13"/>
      <c r="O174" s="13"/>
      <c r="P174" s="16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</row>
    <row r="175" spans="1:48" ht="13.05" customHeight="1" x14ac:dyDescent="0.3">
      <c r="A175" s="13"/>
      <c r="B175" s="13"/>
      <c r="C175" s="13"/>
      <c r="D175" s="13"/>
      <c r="E175" s="13"/>
      <c r="F175" s="13"/>
      <c r="G175" s="16"/>
      <c r="H175" s="13"/>
      <c r="I175" s="13"/>
      <c r="J175" s="13"/>
      <c r="K175" s="16"/>
      <c r="L175" s="13"/>
      <c r="M175" s="13"/>
      <c r="N175" s="13"/>
      <c r="O175" s="13"/>
      <c r="P175" s="16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</row>
    <row r="176" spans="1:48" ht="13.05" customHeight="1" x14ac:dyDescent="0.3">
      <c r="A176" s="13"/>
      <c r="B176" s="13"/>
      <c r="C176" s="13"/>
      <c r="D176" s="13"/>
      <c r="E176" s="13"/>
      <c r="F176" s="13"/>
      <c r="G176" s="16"/>
      <c r="H176" s="13"/>
      <c r="I176" s="13"/>
      <c r="J176" s="13"/>
      <c r="K176" s="16"/>
      <c r="L176" s="13"/>
      <c r="M176" s="13"/>
      <c r="N176" s="13"/>
      <c r="O176" s="13"/>
      <c r="P176" s="16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</row>
    <row r="177" spans="1:48" ht="13.05" customHeight="1" x14ac:dyDescent="0.3">
      <c r="A177" s="13"/>
      <c r="B177" s="13"/>
      <c r="C177" s="13"/>
      <c r="D177" s="13"/>
      <c r="E177" s="13"/>
      <c r="F177" s="13"/>
      <c r="G177" s="16"/>
      <c r="H177" s="13"/>
      <c r="I177" s="13"/>
      <c r="J177" s="13"/>
      <c r="K177" s="16"/>
      <c r="L177" s="13"/>
      <c r="M177" s="13"/>
      <c r="N177" s="13"/>
      <c r="O177" s="13"/>
      <c r="P177" s="16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</row>
    <row r="178" spans="1:48" ht="13.05" customHeight="1" x14ac:dyDescent="0.3">
      <c r="A178" s="13"/>
      <c r="B178" s="13"/>
      <c r="C178" s="13"/>
      <c r="D178" s="13"/>
      <c r="E178" s="13"/>
      <c r="F178" s="13"/>
      <c r="G178" s="16"/>
      <c r="H178" s="13"/>
      <c r="I178" s="13"/>
      <c r="J178" s="13"/>
      <c r="K178" s="16"/>
      <c r="L178" s="13"/>
      <c r="M178" s="13"/>
      <c r="N178" s="13"/>
      <c r="O178" s="13"/>
      <c r="P178" s="16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</row>
    <row r="179" spans="1:48" ht="13.05" customHeight="1" x14ac:dyDescent="0.3">
      <c r="A179" s="13"/>
      <c r="B179" s="13"/>
      <c r="C179" s="13"/>
      <c r="D179" s="13"/>
      <c r="E179" s="13"/>
      <c r="F179" s="13"/>
      <c r="G179" s="16"/>
      <c r="H179" s="13"/>
      <c r="I179" s="13"/>
      <c r="J179" s="13"/>
      <c r="K179" s="16"/>
      <c r="L179" s="13"/>
      <c r="M179" s="13"/>
      <c r="N179" s="13"/>
      <c r="O179" s="13"/>
      <c r="P179" s="16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</row>
    <row r="180" spans="1:48" ht="13.05" customHeight="1" x14ac:dyDescent="0.3">
      <c r="A180" s="13"/>
      <c r="B180" s="13"/>
      <c r="C180" s="13"/>
      <c r="D180" s="13"/>
      <c r="E180" s="13"/>
      <c r="F180" s="13"/>
      <c r="G180" s="16"/>
      <c r="H180" s="13"/>
      <c r="I180" s="13"/>
      <c r="J180" s="13"/>
      <c r="K180" s="16"/>
      <c r="L180" s="13"/>
      <c r="M180" s="13"/>
      <c r="N180" s="13"/>
      <c r="O180" s="13"/>
      <c r="P180" s="16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</row>
    <row r="181" spans="1:48" ht="13.05" customHeight="1" x14ac:dyDescent="0.3">
      <c r="A181" s="13"/>
      <c r="B181" s="13"/>
      <c r="C181" s="13"/>
      <c r="D181" s="13"/>
      <c r="E181" s="13"/>
      <c r="F181" s="13"/>
      <c r="G181" s="16"/>
      <c r="H181" s="13"/>
      <c r="I181" s="13"/>
      <c r="J181" s="13"/>
      <c r="K181" s="16"/>
      <c r="L181" s="13"/>
      <c r="M181" s="13"/>
      <c r="N181" s="13"/>
      <c r="O181" s="13"/>
      <c r="P181" s="16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</row>
    <row r="182" spans="1:48" ht="13.05" customHeight="1" x14ac:dyDescent="0.3">
      <c r="A182" s="13"/>
      <c r="B182" s="13"/>
      <c r="C182" s="13"/>
      <c r="D182" s="13"/>
      <c r="E182" s="13"/>
      <c r="F182" s="13"/>
      <c r="G182" s="16"/>
      <c r="H182" s="13"/>
      <c r="I182" s="13"/>
      <c r="J182" s="13"/>
      <c r="K182" s="16"/>
      <c r="L182" s="13"/>
      <c r="M182" s="13"/>
      <c r="N182" s="13"/>
      <c r="O182" s="13"/>
      <c r="P182" s="16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</row>
    <row r="183" spans="1:48" ht="13.05" customHeight="1" x14ac:dyDescent="0.3">
      <c r="A183" s="13"/>
      <c r="B183" s="13"/>
      <c r="C183" s="13"/>
      <c r="D183" s="13"/>
      <c r="E183" s="13"/>
      <c r="F183" s="13"/>
      <c r="G183" s="16"/>
      <c r="H183" s="13"/>
      <c r="I183" s="13"/>
      <c r="J183" s="13"/>
      <c r="K183" s="16"/>
      <c r="L183" s="13"/>
      <c r="M183" s="13"/>
      <c r="N183" s="13"/>
      <c r="O183" s="13"/>
      <c r="P183" s="16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</row>
    <row r="184" spans="1:48" ht="13.05" customHeight="1" x14ac:dyDescent="0.3">
      <c r="A184" s="13"/>
      <c r="B184" s="13"/>
      <c r="C184" s="13"/>
      <c r="D184" s="13"/>
      <c r="E184" s="13"/>
      <c r="F184" s="13"/>
      <c r="G184" s="16"/>
      <c r="H184" s="13"/>
      <c r="I184" s="13"/>
      <c r="J184" s="13"/>
      <c r="K184" s="16"/>
      <c r="L184" s="13"/>
      <c r="M184" s="13"/>
      <c r="N184" s="13"/>
      <c r="O184" s="13"/>
      <c r="P184" s="16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</row>
    <row r="185" spans="1:48" ht="13.05" customHeight="1" x14ac:dyDescent="0.3">
      <c r="A185" s="13"/>
      <c r="B185" s="13"/>
      <c r="C185" s="13"/>
      <c r="D185" s="13"/>
      <c r="E185" s="13"/>
      <c r="F185" s="13"/>
      <c r="G185" s="16"/>
      <c r="H185" s="13"/>
      <c r="I185" s="13"/>
      <c r="J185" s="13"/>
      <c r="K185" s="16"/>
      <c r="L185" s="13"/>
      <c r="M185" s="13"/>
      <c r="N185" s="13"/>
      <c r="O185" s="13"/>
      <c r="P185" s="16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</row>
    <row r="186" spans="1:48" ht="13.05" customHeight="1" x14ac:dyDescent="0.3">
      <c r="A186" s="13"/>
      <c r="B186" s="13"/>
      <c r="C186" s="13"/>
      <c r="D186" s="13"/>
      <c r="E186" s="13"/>
      <c r="F186" s="13"/>
      <c r="G186" s="16"/>
      <c r="H186" s="13"/>
      <c r="I186" s="13"/>
      <c r="J186" s="13"/>
      <c r="K186" s="16"/>
      <c r="L186" s="13"/>
      <c r="M186" s="13"/>
      <c r="N186" s="13"/>
      <c r="O186" s="13"/>
      <c r="P186" s="16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</row>
    <row r="187" spans="1:48" ht="13.05" customHeight="1" x14ac:dyDescent="0.3">
      <c r="A187" s="13"/>
      <c r="B187" s="13"/>
      <c r="C187" s="13"/>
      <c r="D187" s="13"/>
      <c r="E187" s="13"/>
      <c r="F187" s="13"/>
      <c r="G187" s="16"/>
      <c r="H187" s="13"/>
      <c r="I187" s="13"/>
      <c r="J187" s="13"/>
      <c r="K187" s="16"/>
      <c r="L187" s="13"/>
      <c r="M187" s="13"/>
      <c r="N187" s="13"/>
      <c r="O187" s="13"/>
      <c r="P187" s="16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</row>
    <row r="188" spans="1:48" ht="13.05" customHeight="1" x14ac:dyDescent="0.3">
      <c r="A188" s="13"/>
      <c r="B188" s="13"/>
      <c r="C188" s="13"/>
      <c r="D188" s="13"/>
      <c r="E188" s="13"/>
      <c r="F188" s="13"/>
      <c r="G188" s="16"/>
      <c r="H188" s="13"/>
      <c r="I188" s="13"/>
      <c r="J188" s="13"/>
      <c r="K188" s="16"/>
      <c r="L188" s="13"/>
      <c r="M188" s="13"/>
      <c r="N188" s="13"/>
      <c r="O188" s="13"/>
      <c r="P188" s="16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</row>
    <row r="189" spans="1:48" ht="13.05" customHeight="1" x14ac:dyDescent="0.3">
      <c r="A189" s="13"/>
      <c r="B189" s="13"/>
      <c r="C189" s="13"/>
      <c r="D189" s="13"/>
      <c r="E189" s="13"/>
      <c r="F189" s="13"/>
      <c r="G189" s="16"/>
      <c r="H189" s="13"/>
      <c r="I189" s="13"/>
      <c r="J189" s="13"/>
      <c r="K189" s="16"/>
      <c r="L189" s="13"/>
      <c r="M189" s="13"/>
      <c r="N189" s="13"/>
      <c r="O189" s="13"/>
      <c r="P189" s="16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</row>
    <row r="190" spans="1:48" ht="13.05" customHeight="1" x14ac:dyDescent="0.3">
      <c r="A190" s="13"/>
      <c r="B190" s="13"/>
      <c r="C190" s="13"/>
      <c r="D190" s="13"/>
      <c r="E190" s="13"/>
      <c r="F190" s="13"/>
      <c r="G190" s="16"/>
      <c r="H190" s="13"/>
      <c r="I190" s="13"/>
      <c r="J190" s="13"/>
      <c r="K190" s="16"/>
      <c r="L190" s="13"/>
      <c r="M190" s="13"/>
      <c r="N190" s="13"/>
      <c r="O190" s="13"/>
      <c r="P190" s="16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</row>
    <row r="191" spans="1:48" ht="13.05" customHeight="1" x14ac:dyDescent="0.3">
      <c r="A191" s="13"/>
      <c r="B191" s="13"/>
      <c r="C191" s="13"/>
      <c r="D191" s="13"/>
      <c r="E191" s="13"/>
      <c r="F191" s="13"/>
      <c r="G191" s="16"/>
      <c r="H191" s="13"/>
      <c r="I191" s="13"/>
      <c r="J191" s="13"/>
      <c r="K191" s="16"/>
      <c r="L191" s="13"/>
      <c r="M191" s="13"/>
      <c r="N191" s="13"/>
      <c r="O191" s="13"/>
      <c r="P191" s="16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</row>
    <row r="192" spans="1:48" ht="13.05" customHeight="1" x14ac:dyDescent="0.3">
      <c r="A192" s="13"/>
      <c r="B192" s="13"/>
      <c r="C192" s="13"/>
      <c r="D192" s="13"/>
      <c r="E192" s="13"/>
      <c r="F192" s="13"/>
      <c r="G192" s="16"/>
      <c r="H192" s="13"/>
      <c r="I192" s="13"/>
      <c r="J192" s="13"/>
      <c r="K192" s="16"/>
      <c r="L192" s="13"/>
      <c r="M192" s="13"/>
      <c r="N192" s="13"/>
      <c r="O192" s="13"/>
      <c r="P192" s="16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</row>
    <row r="193" spans="1:48" ht="13.05" customHeight="1" x14ac:dyDescent="0.3">
      <c r="A193" s="13"/>
      <c r="B193" s="13"/>
      <c r="C193" s="13"/>
      <c r="D193" s="13"/>
      <c r="E193" s="13"/>
      <c r="F193" s="13"/>
      <c r="G193" s="16"/>
      <c r="H193" s="13"/>
      <c r="I193" s="13"/>
      <c r="J193" s="13"/>
      <c r="K193" s="16"/>
      <c r="L193" s="13"/>
      <c r="M193" s="13"/>
      <c r="N193" s="13"/>
      <c r="O193" s="13"/>
      <c r="P193" s="16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</row>
    <row r="194" spans="1:48" ht="13.05" customHeight="1" x14ac:dyDescent="0.3">
      <c r="A194" s="13"/>
      <c r="B194" s="13"/>
      <c r="C194" s="13"/>
      <c r="D194" s="13"/>
      <c r="E194" s="13"/>
      <c r="F194" s="13"/>
      <c r="G194" s="16"/>
      <c r="H194" s="13"/>
      <c r="I194" s="13"/>
      <c r="J194" s="13"/>
      <c r="K194" s="16"/>
      <c r="L194" s="13"/>
      <c r="M194" s="13"/>
      <c r="N194" s="13"/>
      <c r="O194" s="13"/>
      <c r="P194" s="16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</row>
    <row r="195" spans="1:48" ht="13.05" customHeight="1" x14ac:dyDescent="0.3">
      <c r="A195" s="13"/>
      <c r="B195" s="13"/>
      <c r="C195" s="13"/>
      <c r="D195" s="13"/>
      <c r="E195" s="13"/>
      <c r="F195" s="13"/>
      <c r="G195" s="16"/>
      <c r="H195" s="13"/>
      <c r="I195" s="13"/>
      <c r="J195" s="13"/>
      <c r="K195" s="16"/>
      <c r="L195" s="13"/>
      <c r="M195" s="13"/>
      <c r="N195" s="13"/>
      <c r="O195" s="13"/>
      <c r="P195" s="16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</row>
    <row r="196" spans="1:48" ht="13.05" customHeight="1" x14ac:dyDescent="0.3">
      <c r="A196" s="13"/>
      <c r="B196" s="13"/>
      <c r="C196" s="13"/>
      <c r="D196" s="13"/>
      <c r="E196" s="13"/>
      <c r="F196" s="13"/>
      <c r="G196" s="16"/>
      <c r="H196" s="13"/>
      <c r="I196" s="13"/>
      <c r="J196" s="13"/>
      <c r="K196" s="16"/>
      <c r="L196" s="13"/>
      <c r="M196" s="13"/>
      <c r="N196" s="13"/>
      <c r="O196" s="13"/>
      <c r="P196" s="16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</row>
    <row r="197" spans="1:48" ht="13.05" customHeight="1" x14ac:dyDescent="0.3">
      <c r="A197" s="13"/>
      <c r="B197" s="13"/>
      <c r="C197" s="13"/>
      <c r="D197" s="13"/>
      <c r="E197" s="13"/>
      <c r="F197" s="13"/>
      <c r="G197" s="16"/>
      <c r="H197" s="13"/>
      <c r="I197" s="13"/>
      <c r="J197" s="13"/>
      <c r="K197" s="16"/>
      <c r="L197" s="13"/>
      <c r="M197" s="13"/>
      <c r="N197" s="13"/>
      <c r="O197" s="13"/>
      <c r="P197" s="16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</row>
    <row r="198" spans="1:48" ht="13.05" customHeight="1" x14ac:dyDescent="0.3">
      <c r="A198" s="13"/>
      <c r="B198" s="13"/>
      <c r="C198" s="13"/>
      <c r="D198" s="13"/>
      <c r="E198" s="13"/>
      <c r="F198" s="13"/>
      <c r="G198" s="16"/>
      <c r="H198" s="13"/>
      <c r="I198" s="13"/>
      <c r="J198" s="13"/>
      <c r="K198" s="16"/>
      <c r="L198" s="13"/>
      <c r="M198" s="13"/>
      <c r="N198" s="13"/>
      <c r="O198" s="13"/>
      <c r="P198" s="16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</row>
    <row r="199" spans="1:48" ht="13.05" customHeight="1" x14ac:dyDescent="0.3">
      <c r="A199" s="13"/>
      <c r="B199" s="13"/>
      <c r="C199" s="13"/>
      <c r="D199" s="13"/>
      <c r="E199" s="13"/>
      <c r="F199" s="13"/>
      <c r="G199" s="16"/>
      <c r="H199" s="13"/>
      <c r="I199" s="13"/>
      <c r="J199" s="13"/>
      <c r="K199" s="16"/>
      <c r="L199" s="13"/>
      <c r="M199" s="13"/>
      <c r="N199" s="13"/>
      <c r="O199" s="13"/>
      <c r="P199" s="16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</row>
    <row r="200" spans="1:48" ht="13.05" customHeight="1" x14ac:dyDescent="0.3">
      <c r="A200" s="13"/>
      <c r="B200" s="13"/>
      <c r="C200" s="13"/>
      <c r="D200" s="13"/>
      <c r="E200" s="13"/>
      <c r="F200" s="13"/>
      <c r="G200" s="16"/>
      <c r="H200" s="13"/>
      <c r="I200" s="13"/>
      <c r="J200" s="13"/>
      <c r="K200" s="16"/>
      <c r="L200" s="13"/>
      <c r="M200" s="13"/>
      <c r="N200" s="13"/>
      <c r="O200" s="13"/>
      <c r="P200" s="16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</row>
  </sheetData>
  <dataValidations count="9">
    <dataValidation type="list" allowBlank="1" showInputMessage="1" showErrorMessage="1" promptTitle="Category" prompt="Select category" sqref="D6:D155" xr:uid="{00000000-0002-0000-0400-000000000000}">
      <formula1>"Technical,Schedule,Cost,Resource,External,Quality,Legal"</formula1>
    </dataValidation>
    <dataValidation type="list" allowBlank="1" showInputMessage="1" showErrorMessage="1" promptTitle="Priority" prompt="Select priority level" sqref="I6:I155" xr:uid="{00000000-0002-0000-0400-000001000000}">
      <formula1>"Low,Medium,High,Critical"</formula1>
    </dataValidation>
    <dataValidation type="list" allowBlank="1" showInputMessage="1" showErrorMessage="1" promptTitle="Severity" prompt="Sev1=Critical, Sev2=Major, Sev3=Moderate, Sev4=Minor" sqref="J6:J155" xr:uid="{00000000-0002-0000-0400-000002000000}">
      <formula1>"Sev1,Sev2,Sev3,Sev4"</formula1>
    </dataValidation>
    <dataValidation type="list" allowBlank="1" showInputMessage="1" showErrorMessage="1" promptTitle="Assigned To" prompt="Select team member" sqref="M6:M155" xr:uid="{00000000-0002-0000-0400-000003000000}">
      <formula1>"Sarah Chen,James Rodriguez,Emily Watson,David Kim,Priya Patel,Marcus Johnson,Lisa Chang"</formula1>
    </dataValidation>
    <dataValidation type="list" allowBlank="1" showInputMessage="1" showErrorMessage="1" promptTitle="Status" prompt="Select status" sqref="O6:O155" xr:uid="{00000000-0002-0000-0400-000004000000}">
      <formula1>"Not Started,In Progress,Resolved,On Hold,Cancelled"</formula1>
    </dataValidation>
    <dataValidation type="list" allowBlank="1" showInputMessage="1" showErrorMessage="1" promptTitle="Root Cause" prompt="Select root cause category" sqref="Q6:Q155" xr:uid="{00000000-0002-0000-0400-000005000000}">
      <formula1>"Process,People,Technology,External"</formula1>
    </dataValidation>
    <dataValidation type="list" allowBlank="1" showInputMessage="1" showErrorMessage="1" promptTitle="Raised By" prompt="Select who raised" sqref="E6:E155" xr:uid="{00000000-0002-0000-0400-000006000000}">
      <formula1>"Sarah Chen,James Rodriguez,Emily Watson,David Kim,Priya Patel,Marcus Johnson,Lisa Chang"</formula1>
    </dataValidation>
    <dataValidation type="list" allowBlank="1" showInputMessage="1" showErrorMessage="1" promptTitle="Filter ASSOC. ID by Type" prompt="Select the type of associated item to filter the ID list below" sqref="C4" xr:uid="{00000000-0002-0000-0400-000007000000}">
      <formula1>"Risk,Action,Decision"</formula1>
    </dataValidation>
    <dataValidation type="list" allowBlank="1" showInputMessage="1" showErrorMessage="1" promptTitle="Associated ID" prompt="Change C4 to filter by type" sqref="C6:C155" xr:uid="{00000000-0002-0000-0400-000008000000}">
      <formula1>"Config!$Q$2:$Q$1000"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6C5CE7"/>
  </sheetPr>
  <dimension ref="A1:AV200"/>
  <sheetViews>
    <sheetView showGridLines="0" workbookViewId="0">
      <pane ySplit="5" topLeftCell="A6" activePane="bottomLeft" state="frozen"/>
      <selection pane="bottomLeft" activeCell="O7" sqref="O7"/>
    </sheetView>
  </sheetViews>
  <sheetFormatPr defaultRowHeight="13.2" x14ac:dyDescent="0.25"/>
  <cols>
    <col min="1" max="1" width="1.44140625" customWidth="1"/>
    <col min="2" max="2" width="9.109375" customWidth="1"/>
    <col min="3" max="3" width="11.77734375" customWidth="1"/>
    <col min="4" max="4" width="18.21875" customWidth="1"/>
    <col min="5" max="5" width="20" customWidth="1"/>
    <col min="6" max="6" width="15.44140625" customWidth="1"/>
    <col min="7" max="7" width="0.77734375" style="22" customWidth="1"/>
    <col min="8" max="8" width="15.44140625" customWidth="1"/>
    <col min="9" max="9" width="45.44140625" customWidth="1"/>
    <col min="10" max="10" width="36.33203125" customWidth="1"/>
    <col min="11" max="11" width="0.77734375" style="22" customWidth="1"/>
    <col min="12" max="12" width="27.21875" customWidth="1"/>
    <col min="13" max="13" width="20" customWidth="1"/>
    <col min="14" max="14" width="15.44140625" customWidth="1"/>
    <col min="15" max="15" width="17.21875" customWidth="1"/>
    <col min="16" max="16" width="36.33203125" customWidth="1"/>
  </cols>
  <sheetData>
    <row r="1" spans="1:48" ht="13.05" customHeight="1" x14ac:dyDescent="0.3">
      <c r="A1" s="14"/>
      <c r="B1" s="14"/>
      <c r="C1" s="14"/>
      <c r="D1" s="14"/>
      <c r="E1" s="14"/>
      <c r="F1" s="14"/>
      <c r="G1" s="16"/>
      <c r="H1" s="14"/>
      <c r="I1" s="14"/>
      <c r="J1" s="14"/>
      <c r="K1" s="16"/>
      <c r="L1" s="14"/>
      <c r="M1" s="14"/>
      <c r="N1" s="14"/>
      <c r="O1" s="14"/>
      <c r="P1" s="14"/>
      <c r="Q1" s="14"/>
      <c r="R1" s="13"/>
      <c r="S1" s="13"/>
      <c r="T1" s="13"/>
      <c r="U1" s="13"/>
      <c r="V1" s="13"/>
      <c r="W1" s="13"/>
      <c r="X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</row>
    <row r="2" spans="1:48" ht="28.5" customHeight="1" x14ac:dyDescent="0.55000000000000004">
      <c r="A2" s="14"/>
      <c r="B2" s="15" t="s">
        <v>181</v>
      </c>
      <c r="C2" s="14"/>
      <c r="D2" s="14"/>
      <c r="E2" s="14"/>
      <c r="F2" s="14"/>
      <c r="G2" s="16"/>
      <c r="H2" s="103" t="s">
        <v>182</v>
      </c>
      <c r="I2" s="29">
        <f>COUNTA(B6:B155)</f>
        <v>150</v>
      </c>
      <c r="J2" s="27" t="s">
        <v>147</v>
      </c>
      <c r="K2" s="16"/>
      <c r="L2" s="29">
        <f>COUNTIF(O6:O155,"Pending")</f>
        <v>0</v>
      </c>
      <c r="M2" s="14"/>
      <c r="N2" s="14"/>
      <c r="O2" s="14"/>
      <c r="P2" s="14"/>
      <c r="Q2" s="14"/>
      <c r="R2" s="13"/>
      <c r="S2" s="13"/>
      <c r="T2" s="13"/>
      <c r="U2" s="13"/>
      <c r="V2" s="13"/>
      <c r="W2" s="13"/>
      <c r="X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</row>
    <row r="3" spans="1:48" ht="13.05" customHeight="1" x14ac:dyDescent="0.3">
      <c r="A3" s="14"/>
      <c r="B3" s="14"/>
      <c r="C3" s="14"/>
      <c r="D3" s="14"/>
      <c r="E3" s="14"/>
      <c r="F3" s="14"/>
      <c r="G3" s="16"/>
      <c r="H3" s="14"/>
      <c r="I3" s="14"/>
      <c r="J3" s="14"/>
      <c r="K3" s="16"/>
      <c r="L3" s="14"/>
      <c r="M3" s="14"/>
      <c r="N3" s="14"/>
      <c r="O3" s="14"/>
      <c r="P3" s="14"/>
      <c r="Q3" s="14"/>
      <c r="R3" s="13"/>
      <c r="S3" s="13"/>
      <c r="T3" s="13"/>
      <c r="U3" s="13"/>
      <c r="V3" s="13"/>
      <c r="W3" s="13"/>
      <c r="X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</row>
    <row r="4" spans="1:48" ht="13.05" customHeight="1" x14ac:dyDescent="0.3">
      <c r="A4" s="13"/>
      <c r="B4" s="107" t="s">
        <v>122</v>
      </c>
      <c r="C4" s="106" t="s">
        <v>37</v>
      </c>
      <c r="D4" s="13"/>
      <c r="E4" s="13"/>
      <c r="F4" s="13"/>
      <c r="G4" s="16"/>
      <c r="H4" s="25" t="s">
        <v>183</v>
      </c>
      <c r="I4" s="13"/>
      <c r="J4" s="13"/>
      <c r="K4" s="16"/>
      <c r="L4" s="25" t="s">
        <v>184</v>
      </c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</row>
    <row r="5" spans="1:48" ht="36" customHeight="1" x14ac:dyDescent="0.3">
      <c r="A5" s="13"/>
      <c r="B5" s="23" t="s">
        <v>71</v>
      </c>
      <c r="C5" s="23" t="s">
        <v>124</v>
      </c>
      <c r="D5" s="23" t="s">
        <v>100</v>
      </c>
      <c r="E5" s="23" t="s">
        <v>185</v>
      </c>
      <c r="F5" s="23" t="s">
        <v>186</v>
      </c>
      <c r="G5" s="23"/>
      <c r="H5" s="23" t="s">
        <v>137</v>
      </c>
      <c r="I5" s="23" t="s">
        <v>187</v>
      </c>
      <c r="J5" s="23" t="s">
        <v>188</v>
      </c>
      <c r="K5" s="23"/>
      <c r="L5" s="23" t="s">
        <v>189</v>
      </c>
      <c r="M5" s="23" t="s">
        <v>127</v>
      </c>
      <c r="N5" s="23" t="s">
        <v>109</v>
      </c>
      <c r="O5" s="23" t="s">
        <v>110</v>
      </c>
      <c r="P5" s="23" t="s">
        <v>112</v>
      </c>
      <c r="Q5" s="13"/>
      <c r="R5" s="13"/>
      <c r="S5" s="13"/>
      <c r="T5" s="13"/>
      <c r="U5" s="13"/>
      <c r="V5" s="13"/>
      <c r="W5" s="13"/>
      <c r="X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</row>
    <row r="6" spans="1:48" ht="28.05" customHeight="1" x14ac:dyDescent="0.3">
      <c r="A6" s="13"/>
      <c r="B6" s="34" t="str">
        <f t="shared" ref="B6:B37" si="0">IF(COUNTA(C6,D6,E6,H6,I6)=0,"","D"&amp;TEXT(ROW()-5,"000"))</f>
        <v/>
      </c>
      <c r="C6" s="38"/>
      <c r="D6" s="31"/>
      <c r="E6" s="31"/>
      <c r="F6" s="40"/>
      <c r="G6" s="32"/>
      <c r="H6" s="48"/>
      <c r="I6" s="31"/>
      <c r="J6" s="31"/>
      <c r="K6" s="32"/>
      <c r="L6" s="31"/>
      <c r="M6" s="31"/>
      <c r="N6" s="40"/>
      <c r="O6" s="60"/>
      <c r="P6" s="31"/>
      <c r="Q6" s="13"/>
      <c r="R6" s="13"/>
      <c r="S6" s="13"/>
      <c r="T6" s="13"/>
      <c r="U6" s="13"/>
      <c r="V6" s="13"/>
      <c r="W6" s="13"/>
      <c r="X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</row>
    <row r="7" spans="1:48" ht="28.05" customHeight="1" x14ac:dyDescent="0.3">
      <c r="A7" s="13"/>
      <c r="B7" s="34" t="str">
        <f t="shared" si="0"/>
        <v/>
      </c>
      <c r="C7" s="39"/>
      <c r="D7" s="33"/>
      <c r="E7" s="33"/>
      <c r="F7" s="41"/>
      <c r="G7" s="33"/>
      <c r="H7" s="46"/>
      <c r="I7" s="33"/>
      <c r="J7" s="33"/>
      <c r="K7" s="33"/>
      <c r="L7" s="33"/>
      <c r="M7" s="33"/>
      <c r="N7" s="41"/>
      <c r="O7" s="47"/>
      <c r="P7" s="33"/>
      <c r="Q7" s="13"/>
      <c r="R7" s="13"/>
      <c r="S7" s="13"/>
      <c r="T7" s="13"/>
      <c r="U7" s="13"/>
      <c r="V7" s="13"/>
      <c r="W7" s="13"/>
      <c r="X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</row>
    <row r="8" spans="1:48" ht="28.05" customHeight="1" x14ac:dyDescent="0.3">
      <c r="A8" s="13"/>
      <c r="B8" s="34" t="str">
        <f t="shared" si="0"/>
        <v/>
      </c>
      <c r="C8" s="38"/>
      <c r="D8" s="31"/>
      <c r="E8" s="31"/>
      <c r="F8" s="40"/>
      <c r="G8" s="32"/>
      <c r="H8" s="46"/>
      <c r="I8" s="31"/>
      <c r="J8" s="31"/>
      <c r="K8" s="32"/>
      <c r="L8" s="31"/>
      <c r="M8" s="31"/>
      <c r="N8" s="40"/>
      <c r="O8" s="47"/>
      <c r="P8" s="31"/>
      <c r="Q8" s="13"/>
      <c r="R8" s="13"/>
      <c r="S8" s="13"/>
      <c r="T8" s="13"/>
      <c r="U8" s="13"/>
      <c r="V8" s="13"/>
      <c r="W8" s="13"/>
      <c r="X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</row>
    <row r="9" spans="1:48" ht="28.05" customHeight="1" x14ac:dyDescent="0.3">
      <c r="A9" s="13"/>
      <c r="B9" s="34" t="str">
        <f t="shared" si="0"/>
        <v/>
      </c>
      <c r="C9" s="39"/>
      <c r="D9" s="33"/>
      <c r="E9" s="33"/>
      <c r="F9" s="41"/>
      <c r="G9" s="33"/>
      <c r="H9" s="49"/>
      <c r="I9" s="33"/>
      <c r="J9" s="33"/>
      <c r="K9" s="33"/>
      <c r="L9" s="33"/>
      <c r="M9" s="33"/>
      <c r="N9" s="41"/>
      <c r="O9" s="60"/>
      <c r="P9" s="33"/>
      <c r="Q9" s="13"/>
      <c r="R9" s="13"/>
      <c r="S9" s="13"/>
      <c r="T9" s="13"/>
      <c r="U9" s="13"/>
      <c r="V9" s="13"/>
      <c r="W9" s="13"/>
      <c r="X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</row>
    <row r="10" spans="1:48" ht="28.05" customHeight="1" x14ac:dyDescent="0.3">
      <c r="A10" s="13"/>
      <c r="B10" s="34" t="str">
        <f t="shared" si="0"/>
        <v/>
      </c>
      <c r="C10" s="38"/>
      <c r="D10" s="31"/>
      <c r="E10" s="31"/>
      <c r="F10" s="40"/>
      <c r="G10" s="32"/>
      <c r="H10" s="48"/>
      <c r="I10" s="31"/>
      <c r="J10" s="31"/>
      <c r="K10" s="32"/>
      <c r="L10" s="31"/>
      <c r="M10" s="31"/>
      <c r="N10" s="40"/>
      <c r="O10" s="47"/>
      <c r="P10" s="31"/>
      <c r="Q10" s="13"/>
      <c r="R10" s="13"/>
      <c r="S10" s="13"/>
      <c r="T10" s="13"/>
      <c r="U10" s="13"/>
      <c r="V10" s="13"/>
      <c r="W10" s="13"/>
      <c r="X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</row>
    <row r="11" spans="1:48" ht="28.05" customHeight="1" x14ac:dyDescent="0.3">
      <c r="A11" s="13"/>
      <c r="B11" s="34" t="str">
        <f t="shared" si="0"/>
        <v/>
      </c>
      <c r="C11" s="39"/>
      <c r="D11" s="33"/>
      <c r="E11" s="33"/>
      <c r="F11" s="41"/>
      <c r="G11" s="33"/>
      <c r="H11" s="46"/>
      <c r="I11" s="33"/>
      <c r="J11" s="33"/>
      <c r="K11" s="33"/>
      <c r="L11" s="33"/>
      <c r="M11" s="33"/>
      <c r="N11" s="41"/>
      <c r="O11" s="48"/>
      <c r="P11" s="33"/>
      <c r="Q11" s="13"/>
      <c r="R11" s="13"/>
      <c r="S11" s="13"/>
      <c r="T11" s="13"/>
      <c r="U11" s="13"/>
      <c r="V11" s="13"/>
      <c r="W11" s="13"/>
      <c r="X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</row>
    <row r="12" spans="1:48" ht="28.05" customHeight="1" x14ac:dyDescent="0.3">
      <c r="A12" s="13"/>
      <c r="B12" s="34" t="str">
        <f t="shared" si="0"/>
        <v/>
      </c>
      <c r="C12" s="38"/>
      <c r="D12" s="31"/>
      <c r="E12" s="31"/>
      <c r="F12" s="40"/>
      <c r="G12" s="32"/>
      <c r="H12" s="46"/>
      <c r="I12" s="31"/>
      <c r="J12" s="31"/>
      <c r="K12" s="32"/>
      <c r="L12" s="31"/>
      <c r="M12" s="31"/>
      <c r="N12" s="40"/>
      <c r="O12" s="48"/>
      <c r="P12" s="31"/>
      <c r="Q12" s="13"/>
      <c r="R12" s="13"/>
      <c r="S12" s="13"/>
      <c r="T12" s="13"/>
      <c r="U12" s="13"/>
      <c r="V12" s="13"/>
      <c r="W12" s="13"/>
      <c r="X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</row>
    <row r="13" spans="1:48" ht="28.05" customHeight="1" x14ac:dyDescent="0.3">
      <c r="A13" s="13"/>
      <c r="B13" s="34" t="str">
        <f t="shared" si="0"/>
        <v/>
      </c>
      <c r="C13" s="39"/>
      <c r="D13" s="33"/>
      <c r="E13" s="33"/>
      <c r="F13" s="41"/>
      <c r="G13" s="33"/>
      <c r="H13" s="48"/>
      <c r="I13" s="33"/>
      <c r="J13" s="33"/>
      <c r="K13" s="33"/>
      <c r="L13" s="33"/>
      <c r="M13" s="33"/>
      <c r="N13" s="41"/>
      <c r="O13" s="47"/>
      <c r="P13" s="33"/>
      <c r="Q13" s="13"/>
      <c r="R13" s="13"/>
      <c r="S13" s="13"/>
      <c r="T13" s="13"/>
      <c r="U13" s="13"/>
      <c r="V13" s="13"/>
      <c r="W13" s="13"/>
      <c r="X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</row>
    <row r="14" spans="1:48" ht="13.05" customHeight="1" x14ac:dyDescent="0.3">
      <c r="A14" s="13"/>
      <c r="B14" s="34" t="str">
        <f t="shared" si="0"/>
        <v/>
      </c>
      <c r="C14" s="13"/>
      <c r="D14" s="13"/>
      <c r="E14" s="13"/>
      <c r="F14" s="13"/>
      <c r="G14" s="16"/>
      <c r="H14" s="13"/>
      <c r="I14" s="13"/>
      <c r="J14" s="13"/>
      <c r="K14" s="16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</row>
    <row r="15" spans="1:48" ht="13.05" customHeight="1" x14ac:dyDescent="0.3">
      <c r="A15" s="13"/>
      <c r="B15" s="34" t="str">
        <f t="shared" si="0"/>
        <v/>
      </c>
      <c r="C15" s="13"/>
      <c r="D15" s="13"/>
      <c r="E15" s="13"/>
      <c r="F15" s="13"/>
      <c r="G15" s="16"/>
      <c r="H15" s="13"/>
      <c r="I15" s="13"/>
      <c r="J15" s="13"/>
      <c r="K15" s="16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</row>
    <row r="16" spans="1:48" ht="13.05" customHeight="1" x14ac:dyDescent="0.3">
      <c r="A16" s="13"/>
      <c r="B16" s="34" t="str">
        <f t="shared" si="0"/>
        <v/>
      </c>
      <c r="C16" s="13"/>
      <c r="D16" s="13"/>
      <c r="E16" s="13"/>
      <c r="F16" s="13"/>
      <c r="G16" s="16"/>
      <c r="H16" s="13"/>
      <c r="I16" s="13"/>
      <c r="J16" s="13"/>
      <c r="K16" s="16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</row>
    <row r="17" spans="1:48" ht="13.05" customHeight="1" x14ac:dyDescent="0.3">
      <c r="A17" s="13"/>
      <c r="B17" s="34" t="str">
        <f t="shared" si="0"/>
        <v/>
      </c>
      <c r="C17" s="13"/>
      <c r="D17" s="13"/>
      <c r="E17" s="13"/>
      <c r="F17" s="13"/>
      <c r="G17" s="16"/>
      <c r="H17" s="13"/>
      <c r="I17" s="13"/>
      <c r="J17" s="13"/>
      <c r="K17" s="16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</row>
    <row r="18" spans="1:48" ht="13.05" customHeight="1" x14ac:dyDescent="0.3">
      <c r="A18" s="13"/>
      <c r="B18" s="34" t="str">
        <f t="shared" si="0"/>
        <v/>
      </c>
      <c r="C18" s="13"/>
      <c r="D18" s="13"/>
      <c r="E18" s="13"/>
      <c r="F18" s="13"/>
      <c r="G18" s="16"/>
      <c r="H18" s="13"/>
      <c r="I18" s="13"/>
      <c r="J18" s="13"/>
      <c r="K18" s="16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</row>
    <row r="19" spans="1:48" ht="13.05" customHeight="1" x14ac:dyDescent="0.3">
      <c r="A19" s="13"/>
      <c r="B19" s="34" t="str">
        <f t="shared" si="0"/>
        <v/>
      </c>
      <c r="C19" s="13"/>
      <c r="D19" s="13"/>
      <c r="E19" s="13"/>
      <c r="F19" s="13"/>
      <c r="G19" s="16"/>
      <c r="H19" s="13"/>
      <c r="I19" s="13"/>
      <c r="J19" s="13"/>
      <c r="K19" s="16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</row>
    <row r="20" spans="1:48" ht="13.05" customHeight="1" x14ac:dyDescent="0.3">
      <c r="A20" s="13"/>
      <c r="B20" s="34" t="str">
        <f t="shared" si="0"/>
        <v/>
      </c>
      <c r="C20" s="13"/>
      <c r="D20" s="13"/>
      <c r="E20" s="13"/>
      <c r="F20" s="13"/>
      <c r="G20" s="16"/>
      <c r="H20" s="13"/>
      <c r="I20" s="13"/>
      <c r="J20" s="13"/>
      <c r="K20" s="16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</row>
    <row r="21" spans="1:48" ht="13.05" customHeight="1" x14ac:dyDescent="0.3">
      <c r="A21" s="13"/>
      <c r="B21" s="34" t="str">
        <f t="shared" si="0"/>
        <v/>
      </c>
      <c r="C21" s="13"/>
      <c r="D21" s="13"/>
      <c r="E21" s="13"/>
      <c r="F21" s="13"/>
      <c r="G21" s="16"/>
      <c r="H21" s="13"/>
      <c r="I21" s="13"/>
      <c r="J21" s="13"/>
      <c r="K21" s="16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</row>
    <row r="22" spans="1:48" ht="13.05" customHeight="1" x14ac:dyDescent="0.3">
      <c r="A22" s="13"/>
      <c r="B22" s="34" t="str">
        <f t="shared" si="0"/>
        <v/>
      </c>
      <c r="C22" s="13"/>
      <c r="D22" s="13"/>
      <c r="E22" s="13"/>
      <c r="F22" s="13"/>
      <c r="G22" s="16"/>
      <c r="H22" s="13"/>
      <c r="I22" s="13"/>
      <c r="J22" s="13"/>
      <c r="K22" s="16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</row>
    <row r="23" spans="1:48" ht="13.05" customHeight="1" x14ac:dyDescent="0.3">
      <c r="A23" s="13"/>
      <c r="B23" s="34" t="str">
        <f t="shared" si="0"/>
        <v/>
      </c>
      <c r="C23" s="13"/>
      <c r="D23" s="13"/>
      <c r="E23" s="13"/>
      <c r="F23" s="13"/>
      <c r="G23" s="16"/>
      <c r="H23" s="13"/>
      <c r="I23" s="13"/>
      <c r="J23" s="13"/>
      <c r="K23" s="16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</row>
    <row r="24" spans="1:48" ht="13.05" customHeight="1" x14ac:dyDescent="0.3">
      <c r="A24" s="13"/>
      <c r="B24" s="34" t="str">
        <f t="shared" si="0"/>
        <v/>
      </c>
      <c r="C24" s="13"/>
      <c r="D24" s="13"/>
      <c r="E24" s="13"/>
      <c r="F24" s="13"/>
      <c r="G24" s="16"/>
      <c r="H24" s="13"/>
      <c r="I24" s="13"/>
      <c r="J24" s="13"/>
      <c r="K24" s="16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</row>
    <row r="25" spans="1:48" ht="13.05" customHeight="1" x14ac:dyDescent="0.3">
      <c r="A25" s="13"/>
      <c r="B25" s="34" t="str">
        <f t="shared" si="0"/>
        <v/>
      </c>
      <c r="C25" s="13"/>
      <c r="D25" s="13"/>
      <c r="E25" s="13"/>
      <c r="F25" s="13"/>
      <c r="G25" s="16"/>
      <c r="H25" s="13"/>
      <c r="I25" s="13"/>
      <c r="J25" s="13"/>
      <c r="K25" s="16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</row>
    <row r="26" spans="1:48" ht="13.05" customHeight="1" x14ac:dyDescent="0.3">
      <c r="A26" s="13"/>
      <c r="B26" s="34" t="str">
        <f t="shared" si="0"/>
        <v/>
      </c>
      <c r="C26" s="13"/>
      <c r="D26" s="13"/>
      <c r="E26" s="13"/>
      <c r="F26" s="13"/>
      <c r="G26" s="16"/>
      <c r="H26" s="13"/>
      <c r="I26" s="13"/>
      <c r="J26" s="13"/>
      <c r="K26" s="16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</row>
    <row r="27" spans="1:48" ht="13.05" customHeight="1" x14ac:dyDescent="0.3">
      <c r="A27" s="13"/>
      <c r="B27" s="34" t="str">
        <f t="shared" si="0"/>
        <v/>
      </c>
      <c r="C27" s="13"/>
      <c r="D27" s="13"/>
      <c r="E27" s="13"/>
      <c r="F27" s="13"/>
      <c r="G27" s="16"/>
      <c r="H27" s="13"/>
      <c r="I27" s="13"/>
      <c r="J27" s="13"/>
      <c r="K27" s="16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</row>
    <row r="28" spans="1:48" ht="13.05" customHeight="1" x14ac:dyDescent="0.3">
      <c r="A28" s="13"/>
      <c r="B28" s="34" t="str">
        <f t="shared" si="0"/>
        <v/>
      </c>
      <c r="C28" s="13"/>
      <c r="D28" s="13"/>
      <c r="E28" s="13"/>
      <c r="F28" s="13"/>
      <c r="G28" s="16"/>
      <c r="H28" s="13"/>
      <c r="I28" s="13"/>
      <c r="J28" s="13"/>
      <c r="K28" s="16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</row>
    <row r="29" spans="1:48" ht="13.05" customHeight="1" x14ac:dyDescent="0.3">
      <c r="A29" s="13"/>
      <c r="B29" s="34" t="str">
        <f t="shared" si="0"/>
        <v/>
      </c>
      <c r="C29" s="13"/>
      <c r="D29" s="13"/>
      <c r="E29" s="13"/>
      <c r="F29" s="13"/>
      <c r="G29" s="16"/>
      <c r="H29" s="13"/>
      <c r="I29" s="13"/>
      <c r="J29" s="13"/>
      <c r="K29" s="16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</row>
    <row r="30" spans="1:48" ht="13.05" customHeight="1" x14ac:dyDescent="0.3">
      <c r="A30" s="13"/>
      <c r="B30" s="34" t="str">
        <f t="shared" si="0"/>
        <v/>
      </c>
      <c r="C30" s="13"/>
      <c r="D30" s="13"/>
      <c r="E30" s="13"/>
      <c r="F30" s="13"/>
      <c r="G30" s="16"/>
      <c r="H30" s="13"/>
      <c r="I30" s="13"/>
      <c r="J30" s="13"/>
      <c r="K30" s="16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</row>
    <row r="31" spans="1:48" ht="13.05" customHeight="1" x14ac:dyDescent="0.3">
      <c r="A31" s="13"/>
      <c r="B31" s="34" t="str">
        <f t="shared" si="0"/>
        <v/>
      </c>
      <c r="C31" s="13"/>
      <c r="D31" s="13"/>
      <c r="E31" s="13"/>
      <c r="F31" s="13"/>
      <c r="G31" s="16"/>
      <c r="H31" s="13"/>
      <c r="I31" s="13"/>
      <c r="J31" s="13"/>
      <c r="K31" s="16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</row>
    <row r="32" spans="1:48" ht="13.05" customHeight="1" x14ac:dyDescent="0.3">
      <c r="A32" s="13"/>
      <c r="B32" s="34" t="str">
        <f t="shared" si="0"/>
        <v/>
      </c>
      <c r="C32" s="13"/>
      <c r="D32" s="13"/>
      <c r="E32" s="13"/>
      <c r="F32" s="13"/>
      <c r="G32" s="16"/>
      <c r="H32" s="13"/>
      <c r="I32" s="13"/>
      <c r="J32" s="13"/>
      <c r="K32" s="16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</row>
    <row r="33" spans="1:48" ht="13.05" customHeight="1" x14ac:dyDescent="0.3">
      <c r="A33" s="13"/>
      <c r="B33" s="34" t="str">
        <f t="shared" si="0"/>
        <v/>
      </c>
      <c r="C33" s="13"/>
      <c r="D33" s="13"/>
      <c r="E33" s="13"/>
      <c r="F33" s="13"/>
      <c r="G33" s="16"/>
      <c r="H33" s="13"/>
      <c r="I33" s="13"/>
      <c r="J33" s="13"/>
      <c r="K33" s="16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</row>
    <row r="34" spans="1:48" ht="13.05" customHeight="1" x14ac:dyDescent="0.3">
      <c r="A34" s="13"/>
      <c r="B34" s="34" t="str">
        <f t="shared" si="0"/>
        <v/>
      </c>
      <c r="C34" s="13"/>
      <c r="D34" s="13"/>
      <c r="E34" s="13"/>
      <c r="F34" s="13"/>
      <c r="G34" s="16"/>
      <c r="H34" s="13"/>
      <c r="I34" s="13"/>
      <c r="J34" s="13"/>
      <c r="K34" s="16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</row>
    <row r="35" spans="1:48" ht="13.05" customHeight="1" x14ac:dyDescent="0.3">
      <c r="A35" s="13"/>
      <c r="B35" s="34" t="str">
        <f t="shared" si="0"/>
        <v/>
      </c>
      <c r="C35" s="13"/>
      <c r="D35" s="13"/>
      <c r="E35" s="13"/>
      <c r="F35" s="13"/>
      <c r="G35" s="16"/>
      <c r="H35" s="13"/>
      <c r="I35" s="13"/>
      <c r="J35" s="13"/>
      <c r="K35" s="16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</row>
    <row r="36" spans="1:48" ht="13.05" customHeight="1" x14ac:dyDescent="0.3">
      <c r="A36" s="13"/>
      <c r="B36" s="34" t="str">
        <f t="shared" si="0"/>
        <v/>
      </c>
      <c r="C36" s="13"/>
      <c r="D36" s="13"/>
      <c r="E36" s="13"/>
      <c r="F36" s="13"/>
      <c r="G36" s="16"/>
      <c r="H36" s="13"/>
      <c r="I36" s="13"/>
      <c r="J36" s="13"/>
      <c r="K36" s="16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</row>
    <row r="37" spans="1:48" ht="13.05" customHeight="1" x14ac:dyDescent="0.3">
      <c r="A37" s="13"/>
      <c r="B37" s="34" t="str">
        <f t="shared" si="0"/>
        <v/>
      </c>
      <c r="C37" s="13"/>
      <c r="D37" s="13"/>
      <c r="E37" s="13"/>
      <c r="F37" s="13"/>
      <c r="G37" s="16"/>
      <c r="H37" s="13"/>
      <c r="I37" s="13"/>
      <c r="J37" s="13"/>
      <c r="K37" s="16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</row>
    <row r="38" spans="1:48" ht="13.05" customHeight="1" x14ac:dyDescent="0.3">
      <c r="A38" s="13"/>
      <c r="B38" s="34" t="str">
        <f t="shared" ref="B38:B69" si="1">IF(COUNTA(C38,D38,E38,H38,I38)=0,"","D"&amp;TEXT(ROW()-5,"000"))</f>
        <v/>
      </c>
      <c r="C38" s="13"/>
      <c r="D38" s="13"/>
      <c r="E38" s="13"/>
      <c r="F38" s="13"/>
      <c r="G38" s="16"/>
      <c r="H38" s="13"/>
      <c r="I38" s="13"/>
      <c r="J38" s="13"/>
      <c r="K38" s="16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</row>
    <row r="39" spans="1:48" ht="13.05" customHeight="1" x14ac:dyDescent="0.3">
      <c r="A39" s="13"/>
      <c r="B39" s="34" t="str">
        <f t="shared" si="1"/>
        <v/>
      </c>
      <c r="C39" s="13"/>
      <c r="D39" s="13"/>
      <c r="E39" s="13"/>
      <c r="F39" s="13"/>
      <c r="G39" s="16"/>
      <c r="H39" s="13"/>
      <c r="I39" s="13"/>
      <c r="J39" s="13"/>
      <c r="K39" s="16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</row>
    <row r="40" spans="1:48" ht="13.05" customHeight="1" x14ac:dyDescent="0.3">
      <c r="A40" s="13"/>
      <c r="B40" s="34" t="str">
        <f t="shared" si="1"/>
        <v/>
      </c>
      <c r="C40" s="13"/>
      <c r="D40" s="13"/>
      <c r="E40" s="13"/>
      <c r="F40" s="13"/>
      <c r="G40" s="16"/>
      <c r="H40" s="13"/>
      <c r="I40" s="13"/>
      <c r="J40" s="13"/>
      <c r="K40" s="16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</row>
    <row r="41" spans="1:48" ht="13.05" customHeight="1" x14ac:dyDescent="0.3">
      <c r="A41" s="13"/>
      <c r="B41" s="34" t="str">
        <f t="shared" si="1"/>
        <v/>
      </c>
      <c r="C41" s="13"/>
      <c r="D41" s="13"/>
      <c r="E41" s="13"/>
      <c r="F41" s="13"/>
      <c r="G41" s="16"/>
      <c r="H41" s="13"/>
      <c r="I41" s="13"/>
      <c r="J41" s="13"/>
      <c r="K41" s="16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</row>
    <row r="42" spans="1:48" ht="13.05" customHeight="1" x14ac:dyDescent="0.3">
      <c r="A42" s="13"/>
      <c r="B42" s="34" t="str">
        <f t="shared" si="1"/>
        <v/>
      </c>
      <c r="C42" s="13"/>
      <c r="D42" s="13"/>
      <c r="E42" s="13"/>
      <c r="F42" s="13"/>
      <c r="G42" s="16"/>
      <c r="H42" s="13"/>
      <c r="I42" s="13"/>
      <c r="J42" s="13"/>
      <c r="K42" s="16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</row>
    <row r="43" spans="1:48" ht="13.05" customHeight="1" x14ac:dyDescent="0.3">
      <c r="A43" s="13"/>
      <c r="B43" s="34" t="str">
        <f t="shared" si="1"/>
        <v/>
      </c>
      <c r="C43" s="13"/>
      <c r="D43" s="13"/>
      <c r="E43" s="13"/>
      <c r="F43" s="13"/>
      <c r="G43" s="16"/>
      <c r="H43" s="13"/>
      <c r="I43" s="13"/>
      <c r="J43" s="13"/>
      <c r="K43" s="16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</row>
    <row r="44" spans="1:48" ht="13.05" customHeight="1" x14ac:dyDescent="0.3">
      <c r="A44" s="13"/>
      <c r="B44" s="34" t="str">
        <f t="shared" si="1"/>
        <v/>
      </c>
      <c r="C44" s="13"/>
      <c r="D44" s="13"/>
      <c r="E44" s="13"/>
      <c r="F44" s="13"/>
      <c r="G44" s="16"/>
      <c r="H44" s="13"/>
      <c r="I44" s="13"/>
      <c r="J44" s="13"/>
      <c r="K44" s="16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</row>
    <row r="45" spans="1:48" ht="13.05" customHeight="1" x14ac:dyDescent="0.3">
      <c r="A45" s="13"/>
      <c r="B45" s="34" t="str">
        <f t="shared" si="1"/>
        <v/>
      </c>
      <c r="C45" s="13"/>
      <c r="D45" s="13"/>
      <c r="E45" s="13"/>
      <c r="F45" s="13"/>
      <c r="G45" s="16"/>
      <c r="H45" s="13"/>
      <c r="I45" s="13"/>
      <c r="J45" s="13"/>
      <c r="K45" s="16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</row>
    <row r="46" spans="1:48" ht="13.05" customHeight="1" x14ac:dyDescent="0.3">
      <c r="A46" s="13"/>
      <c r="B46" s="34" t="str">
        <f t="shared" si="1"/>
        <v/>
      </c>
      <c r="C46" s="13"/>
      <c r="D46" s="13"/>
      <c r="E46" s="13"/>
      <c r="F46" s="13"/>
      <c r="G46" s="16"/>
      <c r="H46" s="13"/>
      <c r="I46" s="13"/>
      <c r="J46" s="13"/>
      <c r="K46" s="16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</row>
    <row r="47" spans="1:48" ht="13.05" customHeight="1" x14ac:dyDescent="0.3">
      <c r="A47" s="13"/>
      <c r="B47" s="34" t="str">
        <f t="shared" si="1"/>
        <v/>
      </c>
      <c r="C47" s="13"/>
      <c r="D47" s="13"/>
      <c r="E47" s="13"/>
      <c r="F47" s="13"/>
      <c r="G47" s="16"/>
      <c r="H47" s="13"/>
      <c r="I47" s="13"/>
      <c r="J47" s="13"/>
      <c r="K47" s="16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</row>
    <row r="48" spans="1:48" ht="13.05" customHeight="1" x14ac:dyDescent="0.3">
      <c r="A48" s="13"/>
      <c r="B48" s="34" t="str">
        <f t="shared" si="1"/>
        <v/>
      </c>
      <c r="C48" s="13"/>
      <c r="D48" s="13"/>
      <c r="E48" s="13"/>
      <c r="F48" s="13"/>
      <c r="G48" s="16"/>
      <c r="H48" s="13"/>
      <c r="I48" s="13"/>
      <c r="J48" s="13"/>
      <c r="K48" s="16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</row>
    <row r="49" spans="1:48" ht="13.05" customHeight="1" x14ac:dyDescent="0.3">
      <c r="A49" s="13"/>
      <c r="B49" s="34" t="str">
        <f t="shared" si="1"/>
        <v/>
      </c>
      <c r="C49" s="13"/>
      <c r="D49" s="13"/>
      <c r="E49" s="13"/>
      <c r="F49" s="13"/>
      <c r="G49" s="16"/>
      <c r="H49" s="13"/>
      <c r="I49" s="13"/>
      <c r="J49" s="13"/>
      <c r="K49" s="16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</row>
    <row r="50" spans="1:48" ht="13.05" customHeight="1" x14ac:dyDescent="0.3">
      <c r="A50" s="13"/>
      <c r="B50" s="34" t="str">
        <f t="shared" si="1"/>
        <v/>
      </c>
      <c r="C50" s="13"/>
      <c r="D50" s="13"/>
      <c r="E50" s="13"/>
      <c r="F50" s="13"/>
      <c r="G50" s="16"/>
      <c r="H50" s="13"/>
      <c r="I50" s="13"/>
      <c r="J50" s="13"/>
      <c r="K50" s="16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</row>
    <row r="51" spans="1:48" ht="13.05" customHeight="1" x14ac:dyDescent="0.3">
      <c r="A51" s="13"/>
      <c r="B51" s="34" t="str">
        <f t="shared" si="1"/>
        <v/>
      </c>
      <c r="C51" s="13"/>
      <c r="D51" s="13"/>
      <c r="E51" s="13"/>
      <c r="F51" s="13"/>
      <c r="G51" s="16"/>
      <c r="H51" s="13"/>
      <c r="I51" s="13"/>
      <c r="J51" s="13"/>
      <c r="K51" s="16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</row>
    <row r="52" spans="1:48" ht="13.05" customHeight="1" x14ac:dyDescent="0.3">
      <c r="A52" s="13"/>
      <c r="B52" s="34" t="str">
        <f t="shared" si="1"/>
        <v/>
      </c>
      <c r="C52" s="13"/>
      <c r="D52" s="13"/>
      <c r="E52" s="13"/>
      <c r="F52" s="13"/>
      <c r="G52" s="16"/>
      <c r="H52" s="13"/>
      <c r="I52" s="13"/>
      <c r="J52" s="13"/>
      <c r="K52" s="16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</row>
    <row r="53" spans="1:48" ht="13.05" customHeight="1" x14ac:dyDescent="0.3">
      <c r="A53" s="13"/>
      <c r="B53" s="34" t="str">
        <f t="shared" si="1"/>
        <v/>
      </c>
      <c r="C53" s="13"/>
      <c r="D53" s="13"/>
      <c r="E53" s="13"/>
      <c r="F53" s="13"/>
      <c r="G53" s="16"/>
      <c r="H53" s="13"/>
      <c r="I53" s="13"/>
      <c r="J53" s="13"/>
      <c r="K53" s="16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</row>
    <row r="54" spans="1:48" ht="13.05" customHeight="1" x14ac:dyDescent="0.3">
      <c r="A54" s="13"/>
      <c r="B54" s="34" t="str">
        <f t="shared" si="1"/>
        <v/>
      </c>
      <c r="C54" s="13"/>
      <c r="D54" s="13"/>
      <c r="E54" s="13"/>
      <c r="F54" s="13"/>
      <c r="G54" s="16"/>
      <c r="H54" s="13"/>
      <c r="I54" s="13"/>
      <c r="J54" s="13"/>
      <c r="K54" s="16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</row>
    <row r="55" spans="1:48" ht="13.05" customHeight="1" x14ac:dyDescent="0.3">
      <c r="A55" s="13"/>
      <c r="B55" s="34" t="str">
        <f t="shared" si="1"/>
        <v/>
      </c>
      <c r="C55" s="13"/>
      <c r="D55" s="13"/>
      <c r="E55" s="13"/>
      <c r="F55" s="13"/>
      <c r="G55" s="16"/>
      <c r="H55" s="13"/>
      <c r="I55" s="13"/>
      <c r="J55" s="13"/>
      <c r="K55" s="16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</row>
    <row r="56" spans="1:48" ht="13.05" customHeight="1" x14ac:dyDescent="0.3">
      <c r="A56" s="13"/>
      <c r="B56" s="34" t="str">
        <f t="shared" si="1"/>
        <v/>
      </c>
      <c r="C56" s="13"/>
      <c r="D56" s="13"/>
      <c r="E56" s="13"/>
      <c r="F56" s="13"/>
      <c r="G56" s="16"/>
      <c r="H56" s="13"/>
      <c r="I56" s="13"/>
      <c r="J56" s="13"/>
      <c r="K56" s="16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</row>
    <row r="57" spans="1:48" ht="13.05" customHeight="1" x14ac:dyDescent="0.3">
      <c r="A57" s="13"/>
      <c r="B57" s="34" t="str">
        <f t="shared" si="1"/>
        <v/>
      </c>
      <c r="C57" s="13"/>
      <c r="D57" s="13"/>
      <c r="E57" s="13"/>
      <c r="F57" s="13"/>
      <c r="G57" s="16"/>
      <c r="H57" s="13"/>
      <c r="I57" s="13"/>
      <c r="J57" s="13"/>
      <c r="K57" s="16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</row>
    <row r="58" spans="1:48" ht="13.05" customHeight="1" x14ac:dyDescent="0.3">
      <c r="A58" s="13"/>
      <c r="B58" s="34" t="str">
        <f t="shared" si="1"/>
        <v/>
      </c>
      <c r="C58" s="13"/>
      <c r="D58" s="13"/>
      <c r="E58" s="13"/>
      <c r="F58" s="13"/>
      <c r="G58" s="16"/>
      <c r="H58" s="13"/>
      <c r="I58" s="13"/>
      <c r="J58" s="13"/>
      <c r="K58" s="16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</row>
    <row r="59" spans="1:48" ht="13.05" customHeight="1" x14ac:dyDescent="0.3">
      <c r="A59" s="13"/>
      <c r="B59" s="34" t="str">
        <f t="shared" si="1"/>
        <v/>
      </c>
      <c r="C59" s="13"/>
      <c r="D59" s="13"/>
      <c r="E59" s="13"/>
      <c r="F59" s="13"/>
      <c r="G59" s="16"/>
      <c r="H59" s="13"/>
      <c r="I59" s="13"/>
      <c r="J59" s="13"/>
      <c r="K59" s="16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</row>
    <row r="60" spans="1:48" ht="13.05" customHeight="1" x14ac:dyDescent="0.3">
      <c r="A60" s="13"/>
      <c r="B60" s="34" t="str">
        <f t="shared" si="1"/>
        <v/>
      </c>
      <c r="C60" s="13"/>
      <c r="D60" s="13"/>
      <c r="E60" s="13"/>
      <c r="F60" s="13"/>
      <c r="G60" s="16"/>
      <c r="H60" s="13"/>
      <c r="I60" s="13"/>
      <c r="J60" s="13"/>
      <c r="K60" s="16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</row>
    <row r="61" spans="1:48" ht="13.05" customHeight="1" x14ac:dyDescent="0.3">
      <c r="A61" s="13"/>
      <c r="B61" s="34" t="str">
        <f t="shared" si="1"/>
        <v/>
      </c>
      <c r="C61" s="13"/>
      <c r="D61" s="13"/>
      <c r="E61" s="13"/>
      <c r="F61" s="13"/>
      <c r="G61" s="16"/>
      <c r="H61" s="13"/>
      <c r="I61" s="13"/>
      <c r="J61" s="13"/>
      <c r="K61" s="16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</row>
    <row r="62" spans="1:48" ht="13.05" customHeight="1" x14ac:dyDescent="0.3">
      <c r="A62" s="13"/>
      <c r="B62" s="34" t="str">
        <f t="shared" si="1"/>
        <v/>
      </c>
      <c r="C62" s="13"/>
      <c r="D62" s="13"/>
      <c r="E62" s="13"/>
      <c r="F62" s="13"/>
      <c r="G62" s="16"/>
      <c r="H62" s="13"/>
      <c r="I62" s="13"/>
      <c r="J62" s="13"/>
      <c r="K62" s="16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</row>
    <row r="63" spans="1:48" ht="13.05" customHeight="1" x14ac:dyDescent="0.3">
      <c r="A63" s="13"/>
      <c r="B63" s="34" t="str">
        <f t="shared" si="1"/>
        <v/>
      </c>
      <c r="C63" s="13"/>
      <c r="D63" s="13"/>
      <c r="E63" s="13"/>
      <c r="F63" s="13"/>
      <c r="G63" s="16"/>
      <c r="H63" s="13"/>
      <c r="I63" s="13"/>
      <c r="J63" s="13"/>
      <c r="K63" s="16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</row>
    <row r="64" spans="1:48" ht="13.05" customHeight="1" x14ac:dyDescent="0.3">
      <c r="A64" s="13"/>
      <c r="B64" s="34" t="str">
        <f t="shared" si="1"/>
        <v/>
      </c>
      <c r="C64" s="13"/>
      <c r="D64" s="13"/>
      <c r="E64" s="13"/>
      <c r="F64" s="13"/>
      <c r="G64" s="16"/>
      <c r="H64" s="13"/>
      <c r="I64" s="13"/>
      <c r="J64" s="13"/>
      <c r="K64" s="16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</row>
    <row r="65" spans="1:48" ht="13.05" customHeight="1" x14ac:dyDescent="0.3">
      <c r="A65" s="13"/>
      <c r="B65" s="34" t="str">
        <f t="shared" si="1"/>
        <v/>
      </c>
      <c r="C65" s="13"/>
      <c r="D65" s="13"/>
      <c r="E65" s="13"/>
      <c r="F65" s="13"/>
      <c r="G65" s="16"/>
      <c r="H65" s="13"/>
      <c r="I65" s="13"/>
      <c r="J65" s="13"/>
      <c r="K65" s="16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</row>
    <row r="66" spans="1:48" ht="13.05" customHeight="1" x14ac:dyDescent="0.3">
      <c r="A66" s="13"/>
      <c r="B66" s="34" t="str">
        <f t="shared" si="1"/>
        <v/>
      </c>
      <c r="C66" s="13"/>
      <c r="D66" s="13"/>
      <c r="E66" s="13"/>
      <c r="F66" s="13"/>
      <c r="G66" s="16"/>
      <c r="H66" s="13"/>
      <c r="I66" s="13"/>
      <c r="J66" s="13"/>
      <c r="K66" s="16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</row>
    <row r="67" spans="1:48" ht="13.05" customHeight="1" x14ac:dyDescent="0.3">
      <c r="A67" s="13"/>
      <c r="B67" s="34" t="str">
        <f t="shared" si="1"/>
        <v/>
      </c>
      <c r="C67" s="13"/>
      <c r="D67" s="13"/>
      <c r="E67" s="13"/>
      <c r="F67" s="13"/>
      <c r="G67" s="16"/>
      <c r="H67" s="13"/>
      <c r="I67" s="13"/>
      <c r="J67" s="13"/>
      <c r="K67" s="16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</row>
    <row r="68" spans="1:48" ht="13.05" customHeight="1" x14ac:dyDescent="0.3">
      <c r="A68" s="13"/>
      <c r="B68" s="34" t="str">
        <f t="shared" si="1"/>
        <v/>
      </c>
      <c r="C68" s="13"/>
      <c r="D68" s="13"/>
      <c r="E68" s="13"/>
      <c r="F68" s="13"/>
      <c r="G68" s="16"/>
      <c r="H68" s="13"/>
      <c r="I68" s="13"/>
      <c r="J68" s="13"/>
      <c r="K68" s="16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</row>
    <row r="69" spans="1:48" ht="13.05" customHeight="1" x14ac:dyDescent="0.3">
      <c r="A69" s="13"/>
      <c r="B69" s="34" t="str">
        <f t="shared" si="1"/>
        <v/>
      </c>
      <c r="C69" s="13"/>
      <c r="D69" s="13"/>
      <c r="E69" s="13"/>
      <c r="F69" s="13"/>
      <c r="G69" s="16"/>
      <c r="H69" s="13"/>
      <c r="I69" s="13"/>
      <c r="J69" s="13"/>
      <c r="K69" s="16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</row>
    <row r="70" spans="1:48" ht="13.05" customHeight="1" x14ac:dyDescent="0.3">
      <c r="A70" s="13"/>
      <c r="B70" s="34" t="str">
        <f t="shared" ref="B70:B101" si="2">IF(COUNTA(C70,D70,E70,H70,I70)=0,"","D"&amp;TEXT(ROW()-5,"000"))</f>
        <v/>
      </c>
      <c r="C70" s="13"/>
      <c r="D70" s="13"/>
      <c r="E70" s="13"/>
      <c r="F70" s="13"/>
      <c r="G70" s="16"/>
      <c r="H70" s="13"/>
      <c r="I70" s="13"/>
      <c r="J70" s="13"/>
      <c r="K70" s="16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</row>
    <row r="71" spans="1:48" ht="13.05" customHeight="1" x14ac:dyDescent="0.3">
      <c r="A71" s="13"/>
      <c r="B71" s="34" t="str">
        <f t="shared" si="2"/>
        <v/>
      </c>
      <c r="C71" s="13"/>
      <c r="D71" s="13"/>
      <c r="E71" s="13"/>
      <c r="F71" s="13"/>
      <c r="G71" s="16"/>
      <c r="H71" s="13"/>
      <c r="I71" s="13"/>
      <c r="J71" s="13"/>
      <c r="K71" s="16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</row>
    <row r="72" spans="1:48" ht="13.05" customHeight="1" x14ac:dyDescent="0.3">
      <c r="A72" s="13"/>
      <c r="B72" s="34" t="str">
        <f t="shared" si="2"/>
        <v/>
      </c>
      <c r="C72" s="13"/>
      <c r="D72" s="13"/>
      <c r="E72" s="13"/>
      <c r="F72" s="13"/>
      <c r="G72" s="16"/>
      <c r="H72" s="13"/>
      <c r="I72" s="13"/>
      <c r="J72" s="13"/>
      <c r="K72" s="16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</row>
    <row r="73" spans="1:48" ht="13.05" customHeight="1" x14ac:dyDescent="0.3">
      <c r="A73" s="13"/>
      <c r="B73" s="34" t="str">
        <f t="shared" si="2"/>
        <v/>
      </c>
      <c r="C73" s="13"/>
      <c r="D73" s="13"/>
      <c r="E73" s="13"/>
      <c r="F73" s="13"/>
      <c r="G73" s="16"/>
      <c r="H73" s="13"/>
      <c r="I73" s="13"/>
      <c r="J73" s="13"/>
      <c r="K73" s="16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</row>
    <row r="74" spans="1:48" ht="13.05" customHeight="1" x14ac:dyDescent="0.3">
      <c r="A74" s="13"/>
      <c r="B74" s="34" t="str">
        <f t="shared" si="2"/>
        <v/>
      </c>
      <c r="C74" s="13"/>
      <c r="D74" s="13"/>
      <c r="E74" s="13"/>
      <c r="F74" s="13"/>
      <c r="G74" s="16"/>
      <c r="H74" s="13"/>
      <c r="I74" s="13"/>
      <c r="J74" s="13"/>
      <c r="K74" s="16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</row>
    <row r="75" spans="1:48" ht="13.05" customHeight="1" x14ac:dyDescent="0.3">
      <c r="A75" s="13"/>
      <c r="B75" s="34" t="str">
        <f t="shared" si="2"/>
        <v/>
      </c>
      <c r="C75" s="13"/>
      <c r="D75" s="13"/>
      <c r="E75" s="13"/>
      <c r="F75" s="13"/>
      <c r="G75" s="16"/>
      <c r="H75" s="13"/>
      <c r="I75" s="13"/>
      <c r="J75" s="13"/>
      <c r="K75" s="16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</row>
    <row r="76" spans="1:48" ht="13.05" customHeight="1" x14ac:dyDescent="0.3">
      <c r="A76" s="13"/>
      <c r="B76" s="34" t="str">
        <f t="shared" si="2"/>
        <v/>
      </c>
      <c r="C76" s="13"/>
      <c r="D76" s="13"/>
      <c r="E76" s="13"/>
      <c r="F76" s="13"/>
      <c r="G76" s="16"/>
      <c r="H76" s="13"/>
      <c r="I76" s="13"/>
      <c r="J76" s="13"/>
      <c r="K76" s="16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</row>
    <row r="77" spans="1:48" ht="13.05" customHeight="1" x14ac:dyDescent="0.3">
      <c r="A77" s="13"/>
      <c r="B77" s="34" t="str">
        <f t="shared" si="2"/>
        <v/>
      </c>
      <c r="C77" s="13"/>
      <c r="D77" s="13"/>
      <c r="E77" s="13"/>
      <c r="F77" s="13"/>
      <c r="G77" s="16"/>
      <c r="H77" s="13"/>
      <c r="I77" s="13"/>
      <c r="J77" s="13"/>
      <c r="K77" s="16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</row>
    <row r="78" spans="1:48" ht="13.05" customHeight="1" x14ac:dyDescent="0.3">
      <c r="A78" s="13"/>
      <c r="B78" s="34" t="str">
        <f t="shared" si="2"/>
        <v/>
      </c>
      <c r="C78" s="13"/>
      <c r="D78" s="13"/>
      <c r="E78" s="13"/>
      <c r="F78" s="13"/>
      <c r="G78" s="16"/>
      <c r="H78" s="13"/>
      <c r="I78" s="13"/>
      <c r="J78" s="13"/>
      <c r="K78" s="16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</row>
    <row r="79" spans="1:48" ht="13.05" customHeight="1" x14ac:dyDescent="0.3">
      <c r="A79" s="13"/>
      <c r="B79" s="34" t="str">
        <f t="shared" si="2"/>
        <v/>
      </c>
      <c r="C79" s="13"/>
      <c r="D79" s="13"/>
      <c r="E79" s="13"/>
      <c r="F79" s="13"/>
      <c r="G79" s="16"/>
      <c r="H79" s="13"/>
      <c r="I79" s="13"/>
      <c r="J79" s="13"/>
      <c r="K79" s="16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</row>
    <row r="80" spans="1:48" ht="13.05" customHeight="1" x14ac:dyDescent="0.3">
      <c r="A80" s="13"/>
      <c r="B80" s="34" t="str">
        <f t="shared" si="2"/>
        <v/>
      </c>
      <c r="C80" s="13"/>
      <c r="D80" s="13"/>
      <c r="E80" s="13"/>
      <c r="F80" s="13"/>
      <c r="G80" s="16"/>
      <c r="H80" s="13"/>
      <c r="I80" s="13"/>
      <c r="J80" s="13"/>
      <c r="K80" s="16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</row>
    <row r="81" spans="1:48" ht="13.05" customHeight="1" x14ac:dyDescent="0.3">
      <c r="A81" s="13"/>
      <c r="B81" s="34" t="str">
        <f t="shared" si="2"/>
        <v/>
      </c>
      <c r="C81" s="13"/>
      <c r="D81" s="13"/>
      <c r="E81" s="13"/>
      <c r="F81" s="13"/>
      <c r="G81" s="16"/>
      <c r="H81" s="13"/>
      <c r="I81" s="13"/>
      <c r="J81" s="13"/>
      <c r="K81" s="16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</row>
    <row r="82" spans="1:48" ht="13.05" customHeight="1" x14ac:dyDescent="0.3">
      <c r="A82" s="13"/>
      <c r="B82" s="34" t="str">
        <f t="shared" si="2"/>
        <v/>
      </c>
      <c r="C82" s="13"/>
      <c r="D82" s="13"/>
      <c r="E82" s="13"/>
      <c r="F82" s="13"/>
      <c r="G82" s="16"/>
      <c r="H82" s="13"/>
      <c r="I82" s="13"/>
      <c r="J82" s="13"/>
      <c r="K82" s="16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</row>
    <row r="83" spans="1:48" ht="13.05" customHeight="1" x14ac:dyDescent="0.3">
      <c r="A83" s="13"/>
      <c r="B83" s="34" t="str">
        <f t="shared" si="2"/>
        <v/>
      </c>
      <c r="C83" s="13"/>
      <c r="D83" s="13"/>
      <c r="E83" s="13"/>
      <c r="F83" s="13"/>
      <c r="G83" s="16"/>
      <c r="H83" s="13"/>
      <c r="I83" s="13"/>
      <c r="J83" s="13"/>
      <c r="K83" s="16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</row>
    <row r="84" spans="1:48" ht="13.05" customHeight="1" x14ac:dyDescent="0.3">
      <c r="A84" s="13"/>
      <c r="B84" s="34" t="str">
        <f t="shared" si="2"/>
        <v/>
      </c>
      <c r="C84" s="13"/>
      <c r="D84" s="13"/>
      <c r="E84" s="13"/>
      <c r="F84" s="13"/>
      <c r="G84" s="16"/>
      <c r="H84" s="13"/>
      <c r="I84" s="13"/>
      <c r="J84" s="13"/>
      <c r="K84" s="16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</row>
    <row r="85" spans="1:48" ht="13.05" customHeight="1" x14ac:dyDescent="0.3">
      <c r="A85" s="13"/>
      <c r="B85" s="34" t="str">
        <f t="shared" si="2"/>
        <v/>
      </c>
      <c r="C85" s="13"/>
      <c r="D85" s="13"/>
      <c r="E85" s="13"/>
      <c r="F85" s="13"/>
      <c r="G85" s="16"/>
      <c r="H85" s="13"/>
      <c r="I85" s="13"/>
      <c r="J85" s="13"/>
      <c r="K85" s="16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</row>
    <row r="86" spans="1:48" ht="13.05" customHeight="1" x14ac:dyDescent="0.3">
      <c r="A86" s="13"/>
      <c r="B86" s="34" t="str">
        <f t="shared" si="2"/>
        <v/>
      </c>
      <c r="C86" s="13"/>
      <c r="D86" s="13"/>
      <c r="E86" s="13"/>
      <c r="F86" s="13"/>
      <c r="G86" s="16"/>
      <c r="H86" s="13"/>
      <c r="I86" s="13"/>
      <c r="J86" s="13"/>
      <c r="K86" s="16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</row>
    <row r="87" spans="1:48" ht="13.05" customHeight="1" x14ac:dyDescent="0.3">
      <c r="A87" s="13"/>
      <c r="B87" s="34" t="str">
        <f t="shared" si="2"/>
        <v/>
      </c>
      <c r="C87" s="13"/>
      <c r="D87" s="13"/>
      <c r="E87" s="13"/>
      <c r="F87" s="13"/>
      <c r="G87" s="16"/>
      <c r="H87" s="13"/>
      <c r="I87" s="13"/>
      <c r="J87" s="13"/>
      <c r="K87" s="16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</row>
    <row r="88" spans="1:48" ht="13.05" customHeight="1" x14ac:dyDescent="0.3">
      <c r="A88" s="13"/>
      <c r="B88" s="34" t="str">
        <f t="shared" si="2"/>
        <v/>
      </c>
      <c r="C88" s="13"/>
      <c r="D88" s="13"/>
      <c r="E88" s="13"/>
      <c r="F88" s="13"/>
      <c r="G88" s="16"/>
      <c r="H88" s="13"/>
      <c r="I88" s="13"/>
      <c r="J88" s="13"/>
      <c r="K88" s="16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</row>
    <row r="89" spans="1:48" ht="13.05" customHeight="1" x14ac:dyDescent="0.3">
      <c r="A89" s="13"/>
      <c r="B89" s="34" t="str">
        <f t="shared" si="2"/>
        <v/>
      </c>
      <c r="C89" s="13"/>
      <c r="D89" s="13"/>
      <c r="E89" s="13"/>
      <c r="F89" s="13"/>
      <c r="G89" s="16"/>
      <c r="H89" s="13"/>
      <c r="I89" s="13"/>
      <c r="J89" s="13"/>
      <c r="K89" s="16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</row>
    <row r="90" spans="1:48" ht="13.05" customHeight="1" x14ac:dyDescent="0.3">
      <c r="A90" s="13"/>
      <c r="B90" s="34" t="str">
        <f t="shared" si="2"/>
        <v/>
      </c>
      <c r="C90" s="13"/>
      <c r="D90" s="13"/>
      <c r="E90" s="13"/>
      <c r="F90" s="13"/>
      <c r="G90" s="16"/>
      <c r="H90" s="13"/>
      <c r="I90" s="13"/>
      <c r="J90" s="13"/>
      <c r="K90" s="16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</row>
    <row r="91" spans="1:48" ht="13.05" customHeight="1" x14ac:dyDescent="0.3">
      <c r="A91" s="13"/>
      <c r="B91" s="34" t="str">
        <f t="shared" si="2"/>
        <v/>
      </c>
      <c r="C91" s="13"/>
      <c r="D91" s="13"/>
      <c r="E91" s="13"/>
      <c r="F91" s="13"/>
      <c r="G91" s="16"/>
      <c r="H91" s="13"/>
      <c r="I91" s="13"/>
      <c r="J91" s="13"/>
      <c r="K91" s="16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</row>
    <row r="92" spans="1:48" ht="13.05" customHeight="1" x14ac:dyDescent="0.3">
      <c r="A92" s="13"/>
      <c r="B92" s="34" t="str">
        <f t="shared" si="2"/>
        <v/>
      </c>
      <c r="C92" s="13"/>
      <c r="D92" s="13"/>
      <c r="E92" s="13"/>
      <c r="F92" s="13"/>
      <c r="G92" s="16"/>
      <c r="H92" s="13"/>
      <c r="I92" s="13"/>
      <c r="J92" s="13"/>
      <c r="K92" s="16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</row>
    <row r="93" spans="1:48" ht="13.05" customHeight="1" x14ac:dyDescent="0.3">
      <c r="A93" s="13"/>
      <c r="B93" s="34" t="str">
        <f t="shared" si="2"/>
        <v/>
      </c>
      <c r="C93" s="13"/>
      <c r="D93" s="13"/>
      <c r="E93" s="13"/>
      <c r="F93" s="13"/>
      <c r="G93" s="16"/>
      <c r="H93" s="13"/>
      <c r="I93" s="13"/>
      <c r="J93" s="13"/>
      <c r="K93" s="16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</row>
    <row r="94" spans="1:48" ht="13.05" customHeight="1" x14ac:dyDescent="0.3">
      <c r="A94" s="13"/>
      <c r="B94" s="34" t="str">
        <f t="shared" si="2"/>
        <v/>
      </c>
      <c r="C94" s="13"/>
      <c r="D94" s="13"/>
      <c r="E94" s="13"/>
      <c r="F94" s="13"/>
      <c r="G94" s="16"/>
      <c r="H94" s="13"/>
      <c r="I94" s="13"/>
      <c r="J94" s="13"/>
      <c r="K94" s="16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</row>
    <row r="95" spans="1:48" ht="13.05" customHeight="1" x14ac:dyDescent="0.3">
      <c r="A95" s="13"/>
      <c r="B95" s="34" t="str">
        <f t="shared" si="2"/>
        <v/>
      </c>
      <c r="C95" s="13"/>
      <c r="D95" s="13"/>
      <c r="E95" s="13"/>
      <c r="F95" s="13"/>
      <c r="G95" s="16"/>
      <c r="H95" s="13"/>
      <c r="I95" s="13"/>
      <c r="J95" s="13"/>
      <c r="K95" s="16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</row>
    <row r="96" spans="1:48" ht="13.05" customHeight="1" x14ac:dyDescent="0.3">
      <c r="A96" s="13"/>
      <c r="B96" s="34" t="str">
        <f t="shared" si="2"/>
        <v/>
      </c>
      <c r="C96" s="13"/>
      <c r="D96" s="13"/>
      <c r="E96" s="13"/>
      <c r="F96" s="13"/>
      <c r="G96" s="16"/>
      <c r="H96" s="13"/>
      <c r="I96" s="13"/>
      <c r="J96" s="13"/>
      <c r="K96" s="16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</row>
    <row r="97" spans="1:48" ht="13.05" customHeight="1" x14ac:dyDescent="0.3">
      <c r="A97" s="13"/>
      <c r="B97" s="34" t="str">
        <f t="shared" si="2"/>
        <v/>
      </c>
      <c r="C97" s="13"/>
      <c r="D97" s="13"/>
      <c r="E97" s="13"/>
      <c r="F97" s="13"/>
      <c r="G97" s="16"/>
      <c r="H97" s="13"/>
      <c r="I97" s="13"/>
      <c r="J97" s="13"/>
      <c r="K97" s="16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</row>
    <row r="98" spans="1:48" ht="13.05" customHeight="1" x14ac:dyDescent="0.3">
      <c r="A98" s="13"/>
      <c r="B98" s="34" t="str">
        <f t="shared" si="2"/>
        <v/>
      </c>
      <c r="C98" s="13"/>
      <c r="D98" s="13"/>
      <c r="E98" s="13"/>
      <c r="F98" s="13"/>
      <c r="G98" s="16"/>
      <c r="H98" s="13"/>
      <c r="I98" s="13"/>
      <c r="J98" s="13"/>
      <c r="K98" s="16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</row>
    <row r="99" spans="1:48" ht="13.05" customHeight="1" x14ac:dyDescent="0.3">
      <c r="A99" s="13"/>
      <c r="B99" s="34" t="str">
        <f t="shared" si="2"/>
        <v/>
      </c>
      <c r="C99" s="13"/>
      <c r="D99" s="13"/>
      <c r="E99" s="13"/>
      <c r="F99" s="13"/>
      <c r="G99" s="16"/>
      <c r="H99" s="13"/>
      <c r="I99" s="13"/>
      <c r="J99" s="13"/>
      <c r="K99" s="16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</row>
    <row r="100" spans="1:48" ht="13.05" customHeight="1" x14ac:dyDescent="0.3">
      <c r="A100" s="13"/>
      <c r="B100" s="34" t="str">
        <f t="shared" si="2"/>
        <v/>
      </c>
      <c r="C100" s="13"/>
      <c r="D100" s="13"/>
      <c r="E100" s="13"/>
      <c r="F100" s="13"/>
      <c r="G100" s="16"/>
      <c r="H100" s="13"/>
      <c r="I100" s="13"/>
      <c r="J100" s="13"/>
      <c r="K100" s="16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</row>
    <row r="101" spans="1:48" ht="13.05" customHeight="1" x14ac:dyDescent="0.3">
      <c r="A101" s="13"/>
      <c r="B101" s="34" t="str">
        <f t="shared" si="2"/>
        <v/>
      </c>
      <c r="C101" s="13"/>
      <c r="D101" s="13"/>
      <c r="E101" s="13"/>
      <c r="F101" s="13"/>
      <c r="G101" s="16"/>
      <c r="H101" s="13"/>
      <c r="I101" s="13"/>
      <c r="J101" s="13"/>
      <c r="K101" s="16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</row>
    <row r="102" spans="1:48" ht="13.05" customHeight="1" x14ac:dyDescent="0.3">
      <c r="A102" s="13"/>
      <c r="B102" s="34" t="str">
        <f t="shared" ref="B102:B133" si="3">IF(COUNTA(C102,D102,E102,H102,I102)=0,"","D"&amp;TEXT(ROW()-5,"000"))</f>
        <v/>
      </c>
      <c r="C102" s="13"/>
      <c r="D102" s="13"/>
      <c r="E102" s="13"/>
      <c r="F102" s="13"/>
      <c r="G102" s="16"/>
      <c r="H102" s="13"/>
      <c r="I102" s="13"/>
      <c r="J102" s="13"/>
      <c r="K102" s="16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</row>
    <row r="103" spans="1:48" ht="13.05" customHeight="1" x14ac:dyDescent="0.3">
      <c r="A103" s="13"/>
      <c r="B103" s="34" t="str">
        <f t="shared" si="3"/>
        <v/>
      </c>
      <c r="C103" s="13"/>
      <c r="D103" s="13"/>
      <c r="E103" s="13"/>
      <c r="F103" s="13"/>
      <c r="G103" s="16"/>
      <c r="H103" s="13"/>
      <c r="I103" s="13"/>
      <c r="J103" s="13"/>
      <c r="K103" s="16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</row>
    <row r="104" spans="1:48" ht="13.05" customHeight="1" x14ac:dyDescent="0.3">
      <c r="A104" s="13"/>
      <c r="B104" s="34" t="str">
        <f t="shared" si="3"/>
        <v/>
      </c>
      <c r="C104" s="13"/>
      <c r="D104" s="13"/>
      <c r="E104" s="13"/>
      <c r="F104" s="13"/>
      <c r="G104" s="16"/>
      <c r="H104" s="13"/>
      <c r="I104" s="13"/>
      <c r="J104" s="13"/>
      <c r="K104" s="16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</row>
    <row r="105" spans="1:48" ht="13.05" customHeight="1" x14ac:dyDescent="0.3">
      <c r="A105" s="13"/>
      <c r="B105" s="34" t="str">
        <f t="shared" si="3"/>
        <v/>
      </c>
      <c r="C105" s="13"/>
      <c r="D105" s="13"/>
      <c r="E105" s="13"/>
      <c r="F105" s="13"/>
      <c r="G105" s="16"/>
      <c r="H105" s="13"/>
      <c r="I105" s="13"/>
      <c r="J105" s="13"/>
      <c r="K105" s="16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</row>
    <row r="106" spans="1:48" ht="13.05" customHeight="1" x14ac:dyDescent="0.3">
      <c r="A106" s="13"/>
      <c r="B106" s="34" t="str">
        <f t="shared" si="3"/>
        <v/>
      </c>
      <c r="C106" s="13"/>
      <c r="D106" s="13"/>
      <c r="E106" s="13"/>
      <c r="F106" s="13"/>
      <c r="G106" s="16"/>
      <c r="H106" s="13"/>
      <c r="I106" s="13"/>
      <c r="J106" s="13"/>
      <c r="K106" s="16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</row>
    <row r="107" spans="1:48" ht="13.05" customHeight="1" x14ac:dyDescent="0.3">
      <c r="A107" s="13"/>
      <c r="B107" s="34" t="str">
        <f t="shared" si="3"/>
        <v/>
      </c>
      <c r="C107" s="13"/>
      <c r="D107" s="13"/>
      <c r="E107" s="13"/>
      <c r="F107" s="13"/>
      <c r="G107" s="16"/>
      <c r="H107" s="13"/>
      <c r="I107" s="13"/>
      <c r="J107" s="13"/>
      <c r="K107" s="16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</row>
    <row r="108" spans="1:48" ht="13.05" customHeight="1" x14ac:dyDescent="0.3">
      <c r="A108" s="13"/>
      <c r="B108" s="34" t="str">
        <f t="shared" si="3"/>
        <v/>
      </c>
      <c r="C108" s="13"/>
      <c r="D108" s="13"/>
      <c r="E108" s="13"/>
      <c r="F108" s="13"/>
      <c r="G108" s="16"/>
      <c r="H108" s="13"/>
      <c r="I108" s="13"/>
      <c r="J108" s="13"/>
      <c r="K108" s="16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</row>
    <row r="109" spans="1:48" ht="13.05" customHeight="1" x14ac:dyDescent="0.3">
      <c r="A109" s="13"/>
      <c r="B109" s="34" t="str">
        <f t="shared" si="3"/>
        <v/>
      </c>
      <c r="C109" s="13"/>
      <c r="D109" s="13"/>
      <c r="E109" s="13"/>
      <c r="F109" s="13"/>
      <c r="G109" s="16"/>
      <c r="H109" s="13"/>
      <c r="I109" s="13"/>
      <c r="J109" s="13"/>
      <c r="K109" s="16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</row>
    <row r="110" spans="1:48" ht="13.05" customHeight="1" x14ac:dyDescent="0.3">
      <c r="A110" s="13"/>
      <c r="B110" s="34" t="str">
        <f t="shared" si="3"/>
        <v/>
      </c>
      <c r="C110" s="13"/>
      <c r="D110" s="13"/>
      <c r="E110" s="13"/>
      <c r="F110" s="13"/>
      <c r="G110" s="16"/>
      <c r="H110" s="13"/>
      <c r="I110" s="13"/>
      <c r="J110" s="13"/>
      <c r="K110" s="16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</row>
    <row r="111" spans="1:48" ht="13.05" customHeight="1" x14ac:dyDescent="0.3">
      <c r="A111" s="13"/>
      <c r="B111" s="34" t="str">
        <f t="shared" si="3"/>
        <v/>
      </c>
      <c r="C111" s="13"/>
      <c r="D111" s="13"/>
      <c r="E111" s="13"/>
      <c r="F111" s="13"/>
      <c r="G111" s="16"/>
      <c r="H111" s="13"/>
      <c r="I111" s="13"/>
      <c r="J111" s="13"/>
      <c r="K111" s="16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</row>
    <row r="112" spans="1:48" ht="13.05" customHeight="1" x14ac:dyDescent="0.3">
      <c r="A112" s="13"/>
      <c r="B112" s="34" t="str">
        <f t="shared" si="3"/>
        <v/>
      </c>
      <c r="C112" s="13"/>
      <c r="D112" s="13"/>
      <c r="E112" s="13"/>
      <c r="F112" s="13"/>
      <c r="G112" s="16"/>
      <c r="H112" s="13"/>
      <c r="I112" s="13"/>
      <c r="J112" s="13"/>
      <c r="K112" s="16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</row>
    <row r="113" spans="1:48" ht="13.05" customHeight="1" x14ac:dyDescent="0.3">
      <c r="A113" s="13"/>
      <c r="B113" s="34" t="str">
        <f t="shared" si="3"/>
        <v/>
      </c>
      <c r="C113" s="13"/>
      <c r="D113" s="13"/>
      <c r="E113" s="13"/>
      <c r="F113" s="13"/>
      <c r="G113" s="16"/>
      <c r="H113" s="13"/>
      <c r="I113" s="13"/>
      <c r="J113" s="13"/>
      <c r="K113" s="16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</row>
    <row r="114" spans="1:48" ht="13.05" customHeight="1" x14ac:dyDescent="0.3">
      <c r="A114" s="13"/>
      <c r="B114" s="34" t="str">
        <f t="shared" si="3"/>
        <v/>
      </c>
      <c r="C114" s="13"/>
      <c r="D114" s="13"/>
      <c r="E114" s="13"/>
      <c r="F114" s="13"/>
      <c r="G114" s="16"/>
      <c r="H114" s="13"/>
      <c r="I114" s="13"/>
      <c r="J114" s="13"/>
      <c r="K114" s="16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</row>
    <row r="115" spans="1:48" ht="13.05" customHeight="1" x14ac:dyDescent="0.3">
      <c r="A115" s="13"/>
      <c r="B115" s="34" t="str">
        <f t="shared" si="3"/>
        <v/>
      </c>
      <c r="C115" s="13"/>
      <c r="D115" s="13"/>
      <c r="E115" s="13"/>
      <c r="F115" s="13"/>
      <c r="G115" s="16"/>
      <c r="H115" s="13"/>
      <c r="I115" s="13"/>
      <c r="J115" s="13"/>
      <c r="K115" s="16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</row>
    <row r="116" spans="1:48" ht="13.05" customHeight="1" x14ac:dyDescent="0.3">
      <c r="A116" s="13"/>
      <c r="B116" s="34" t="str">
        <f t="shared" si="3"/>
        <v/>
      </c>
      <c r="C116" s="13"/>
      <c r="D116" s="13"/>
      <c r="E116" s="13"/>
      <c r="F116" s="13"/>
      <c r="G116" s="16"/>
      <c r="H116" s="13"/>
      <c r="I116" s="13"/>
      <c r="J116" s="13"/>
      <c r="K116" s="16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</row>
    <row r="117" spans="1:48" ht="13.05" customHeight="1" x14ac:dyDescent="0.3">
      <c r="A117" s="13"/>
      <c r="B117" s="34" t="str">
        <f t="shared" si="3"/>
        <v/>
      </c>
      <c r="C117" s="13"/>
      <c r="D117" s="13"/>
      <c r="E117" s="13"/>
      <c r="F117" s="13"/>
      <c r="G117" s="16"/>
      <c r="H117" s="13"/>
      <c r="I117" s="13"/>
      <c r="J117" s="13"/>
      <c r="K117" s="16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</row>
    <row r="118" spans="1:48" ht="13.05" customHeight="1" x14ac:dyDescent="0.3">
      <c r="A118" s="13"/>
      <c r="B118" s="34" t="str">
        <f t="shared" si="3"/>
        <v/>
      </c>
      <c r="C118" s="13"/>
      <c r="D118" s="13"/>
      <c r="E118" s="13"/>
      <c r="F118" s="13"/>
      <c r="G118" s="16"/>
      <c r="H118" s="13"/>
      <c r="I118" s="13"/>
      <c r="J118" s="13"/>
      <c r="K118" s="16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</row>
    <row r="119" spans="1:48" ht="13.05" customHeight="1" x14ac:dyDescent="0.3">
      <c r="A119" s="13"/>
      <c r="B119" s="34" t="str">
        <f t="shared" si="3"/>
        <v/>
      </c>
      <c r="C119" s="13"/>
      <c r="D119" s="13"/>
      <c r="E119" s="13"/>
      <c r="F119" s="13"/>
      <c r="G119" s="16"/>
      <c r="H119" s="13"/>
      <c r="I119" s="13"/>
      <c r="J119" s="13"/>
      <c r="K119" s="16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</row>
    <row r="120" spans="1:48" ht="13.05" customHeight="1" x14ac:dyDescent="0.3">
      <c r="A120" s="13"/>
      <c r="B120" s="34" t="str">
        <f t="shared" si="3"/>
        <v/>
      </c>
      <c r="C120" s="13"/>
      <c r="D120" s="13"/>
      <c r="E120" s="13"/>
      <c r="F120" s="13"/>
      <c r="G120" s="16"/>
      <c r="H120" s="13"/>
      <c r="I120" s="13"/>
      <c r="J120" s="13"/>
      <c r="K120" s="16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</row>
    <row r="121" spans="1:48" ht="13.05" customHeight="1" x14ac:dyDescent="0.3">
      <c r="A121" s="13"/>
      <c r="B121" s="34" t="str">
        <f t="shared" si="3"/>
        <v/>
      </c>
      <c r="C121" s="13"/>
      <c r="D121" s="13"/>
      <c r="E121" s="13"/>
      <c r="F121" s="13"/>
      <c r="G121" s="16"/>
      <c r="H121" s="13"/>
      <c r="I121" s="13"/>
      <c r="J121" s="13"/>
      <c r="K121" s="16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</row>
    <row r="122" spans="1:48" ht="13.05" customHeight="1" x14ac:dyDescent="0.3">
      <c r="A122" s="13"/>
      <c r="B122" s="34" t="str">
        <f t="shared" si="3"/>
        <v/>
      </c>
      <c r="C122" s="13"/>
      <c r="D122" s="13"/>
      <c r="E122" s="13"/>
      <c r="F122" s="13"/>
      <c r="G122" s="16"/>
      <c r="H122" s="13"/>
      <c r="I122" s="13"/>
      <c r="J122" s="13"/>
      <c r="K122" s="16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</row>
    <row r="123" spans="1:48" ht="13.05" customHeight="1" x14ac:dyDescent="0.3">
      <c r="A123" s="13"/>
      <c r="B123" s="34" t="str">
        <f t="shared" si="3"/>
        <v/>
      </c>
      <c r="C123" s="13"/>
      <c r="D123" s="13"/>
      <c r="E123" s="13"/>
      <c r="F123" s="13"/>
      <c r="G123" s="16"/>
      <c r="H123" s="13"/>
      <c r="I123" s="13"/>
      <c r="J123" s="13"/>
      <c r="K123" s="16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</row>
    <row r="124" spans="1:48" ht="13.05" customHeight="1" x14ac:dyDescent="0.3">
      <c r="A124" s="13"/>
      <c r="B124" s="34" t="str">
        <f t="shared" si="3"/>
        <v/>
      </c>
      <c r="C124" s="13"/>
      <c r="D124" s="13"/>
      <c r="E124" s="13"/>
      <c r="F124" s="13"/>
      <c r="G124" s="16"/>
      <c r="H124" s="13"/>
      <c r="I124" s="13"/>
      <c r="J124" s="13"/>
      <c r="K124" s="16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</row>
    <row r="125" spans="1:48" ht="13.05" customHeight="1" x14ac:dyDescent="0.3">
      <c r="A125" s="13"/>
      <c r="B125" s="34" t="str">
        <f t="shared" si="3"/>
        <v/>
      </c>
      <c r="C125" s="13"/>
      <c r="D125" s="13"/>
      <c r="E125" s="13"/>
      <c r="F125" s="13"/>
      <c r="G125" s="16"/>
      <c r="H125" s="13"/>
      <c r="I125" s="13"/>
      <c r="J125" s="13"/>
      <c r="K125" s="16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</row>
    <row r="126" spans="1:48" ht="13.05" customHeight="1" x14ac:dyDescent="0.3">
      <c r="A126" s="13"/>
      <c r="B126" s="34" t="str">
        <f t="shared" si="3"/>
        <v/>
      </c>
      <c r="C126" s="13"/>
      <c r="D126" s="13"/>
      <c r="E126" s="13"/>
      <c r="F126" s="13"/>
      <c r="G126" s="16"/>
      <c r="H126" s="13"/>
      <c r="I126" s="13"/>
      <c r="J126" s="13"/>
      <c r="K126" s="16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</row>
    <row r="127" spans="1:48" ht="13.05" customHeight="1" x14ac:dyDescent="0.3">
      <c r="A127" s="13"/>
      <c r="B127" s="34" t="str">
        <f t="shared" si="3"/>
        <v/>
      </c>
      <c r="C127" s="13"/>
      <c r="D127" s="13"/>
      <c r="E127" s="13"/>
      <c r="F127" s="13"/>
      <c r="G127" s="16"/>
      <c r="H127" s="13"/>
      <c r="I127" s="13"/>
      <c r="J127" s="13"/>
      <c r="K127" s="16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</row>
    <row r="128" spans="1:48" ht="13.05" customHeight="1" x14ac:dyDescent="0.3">
      <c r="A128" s="13"/>
      <c r="B128" s="34" t="str">
        <f t="shared" si="3"/>
        <v/>
      </c>
      <c r="C128" s="13"/>
      <c r="D128" s="13"/>
      <c r="E128" s="13"/>
      <c r="F128" s="13"/>
      <c r="G128" s="16"/>
      <c r="H128" s="13"/>
      <c r="I128" s="13"/>
      <c r="J128" s="13"/>
      <c r="K128" s="16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</row>
    <row r="129" spans="1:48" ht="13.05" customHeight="1" x14ac:dyDescent="0.3">
      <c r="A129" s="13"/>
      <c r="B129" s="34" t="str">
        <f t="shared" si="3"/>
        <v/>
      </c>
      <c r="C129" s="13"/>
      <c r="D129" s="13"/>
      <c r="E129" s="13"/>
      <c r="F129" s="13"/>
      <c r="G129" s="16"/>
      <c r="H129" s="13"/>
      <c r="I129" s="13"/>
      <c r="J129" s="13"/>
      <c r="K129" s="16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</row>
    <row r="130" spans="1:48" ht="13.05" customHeight="1" x14ac:dyDescent="0.3">
      <c r="A130" s="13"/>
      <c r="B130" s="34" t="str">
        <f t="shared" si="3"/>
        <v/>
      </c>
      <c r="C130" s="13"/>
      <c r="D130" s="13"/>
      <c r="E130" s="13"/>
      <c r="F130" s="13"/>
      <c r="G130" s="16"/>
      <c r="H130" s="13"/>
      <c r="I130" s="13"/>
      <c r="J130" s="13"/>
      <c r="K130" s="16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</row>
    <row r="131" spans="1:48" ht="13.05" customHeight="1" x14ac:dyDescent="0.3">
      <c r="A131" s="13"/>
      <c r="B131" s="34" t="str">
        <f t="shared" si="3"/>
        <v/>
      </c>
      <c r="C131" s="13"/>
      <c r="D131" s="13"/>
      <c r="E131" s="13"/>
      <c r="F131" s="13"/>
      <c r="G131" s="16"/>
      <c r="H131" s="13"/>
      <c r="I131" s="13"/>
      <c r="J131" s="13"/>
      <c r="K131" s="16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</row>
    <row r="132" spans="1:48" ht="13.05" customHeight="1" x14ac:dyDescent="0.3">
      <c r="A132" s="13"/>
      <c r="B132" s="34" t="str">
        <f t="shared" si="3"/>
        <v/>
      </c>
      <c r="C132" s="13"/>
      <c r="D132" s="13"/>
      <c r="E132" s="13"/>
      <c r="F132" s="13"/>
      <c r="G132" s="16"/>
      <c r="H132" s="13"/>
      <c r="I132" s="13"/>
      <c r="J132" s="13"/>
      <c r="K132" s="16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</row>
    <row r="133" spans="1:48" ht="13.05" customHeight="1" x14ac:dyDescent="0.3">
      <c r="A133" s="13"/>
      <c r="B133" s="34" t="str">
        <f t="shared" si="3"/>
        <v/>
      </c>
      <c r="C133" s="13"/>
      <c r="D133" s="13"/>
      <c r="E133" s="13"/>
      <c r="F133" s="13"/>
      <c r="G133" s="16"/>
      <c r="H133" s="13"/>
      <c r="I133" s="13"/>
      <c r="J133" s="13"/>
      <c r="K133" s="16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</row>
    <row r="134" spans="1:48" ht="13.05" customHeight="1" x14ac:dyDescent="0.3">
      <c r="A134" s="13"/>
      <c r="B134" s="34" t="str">
        <f t="shared" ref="B134:B155" si="4">IF(COUNTA(C134,D134,E134,H134,I134)=0,"","D"&amp;TEXT(ROW()-5,"000"))</f>
        <v/>
      </c>
      <c r="C134" s="13"/>
      <c r="D134" s="13"/>
      <c r="E134" s="13"/>
      <c r="F134" s="13"/>
      <c r="G134" s="16"/>
      <c r="H134" s="13"/>
      <c r="I134" s="13"/>
      <c r="J134" s="13"/>
      <c r="K134" s="16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</row>
    <row r="135" spans="1:48" ht="13.05" customHeight="1" x14ac:dyDescent="0.3">
      <c r="A135" s="13"/>
      <c r="B135" s="34" t="str">
        <f t="shared" si="4"/>
        <v/>
      </c>
      <c r="C135" s="13"/>
      <c r="D135" s="13"/>
      <c r="E135" s="13"/>
      <c r="F135" s="13"/>
      <c r="G135" s="16"/>
      <c r="H135" s="13"/>
      <c r="I135" s="13"/>
      <c r="J135" s="13"/>
      <c r="K135" s="16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</row>
    <row r="136" spans="1:48" ht="13.05" customHeight="1" x14ac:dyDescent="0.3">
      <c r="A136" s="13"/>
      <c r="B136" s="34" t="str">
        <f t="shared" si="4"/>
        <v/>
      </c>
      <c r="C136" s="13"/>
      <c r="D136" s="13"/>
      <c r="E136" s="13"/>
      <c r="F136" s="13"/>
      <c r="G136" s="16"/>
      <c r="H136" s="13"/>
      <c r="I136" s="13"/>
      <c r="J136" s="13"/>
      <c r="K136" s="16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</row>
    <row r="137" spans="1:48" ht="13.05" customHeight="1" x14ac:dyDescent="0.3">
      <c r="A137" s="13"/>
      <c r="B137" s="34" t="str">
        <f t="shared" si="4"/>
        <v/>
      </c>
      <c r="C137" s="13"/>
      <c r="D137" s="13"/>
      <c r="E137" s="13"/>
      <c r="F137" s="13"/>
      <c r="G137" s="16"/>
      <c r="H137" s="13"/>
      <c r="I137" s="13"/>
      <c r="J137" s="13"/>
      <c r="K137" s="16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</row>
    <row r="138" spans="1:48" ht="13.05" customHeight="1" x14ac:dyDescent="0.3">
      <c r="A138" s="13"/>
      <c r="B138" s="34" t="str">
        <f t="shared" si="4"/>
        <v/>
      </c>
      <c r="C138" s="13"/>
      <c r="D138" s="13"/>
      <c r="E138" s="13"/>
      <c r="F138" s="13"/>
      <c r="G138" s="16"/>
      <c r="H138" s="13"/>
      <c r="I138" s="13"/>
      <c r="J138" s="13"/>
      <c r="K138" s="16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</row>
    <row r="139" spans="1:48" ht="13.05" customHeight="1" x14ac:dyDescent="0.3">
      <c r="A139" s="13"/>
      <c r="B139" s="34" t="str">
        <f t="shared" si="4"/>
        <v/>
      </c>
      <c r="C139" s="13"/>
      <c r="D139" s="13"/>
      <c r="E139" s="13"/>
      <c r="F139" s="13"/>
      <c r="G139" s="16"/>
      <c r="H139" s="13"/>
      <c r="I139" s="13"/>
      <c r="J139" s="13"/>
      <c r="K139" s="16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</row>
    <row r="140" spans="1:48" ht="13.05" customHeight="1" x14ac:dyDescent="0.3">
      <c r="A140" s="13"/>
      <c r="B140" s="34" t="str">
        <f t="shared" si="4"/>
        <v/>
      </c>
      <c r="C140" s="13"/>
      <c r="D140" s="13"/>
      <c r="E140" s="13"/>
      <c r="F140" s="13"/>
      <c r="G140" s="16"/>
      <c r="H140" s="13"/>
      <c r="I140" s="13"/>
      <c r="J140" s="13"/>
      <c r="K140" s="16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</row>
    <row r="141" spans="1:48" ht="13.05" customHeight="1" x14ac:dyDescent="0.3">
      <c r="A141" s="13"/>
      <c r="B141" s="34" t="str">
        <f t="shared" si="4"/>
        <v/>
      </c>
      <c r="C141" s="13"/>
      <c r="D141" s="13"/>
      <c r="E141" s="13"/>
      <c r="F141" s="13"/>
      <c r="G141" s="16"/>
      <c r="H141" s="13"/>
      <c r="I141" s="13"/>
      <c r="J141" s="13"/>
      <c r="K141" s="16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</row>
    <row r="142" spans="1:48" ht="13.05" customHeight="1" x14ac:dyDescent="0.3">
      <c r="A142" s="13"/>
      <c r="B142" s="34" t="str">
        <f t="shared" si="4"/>
        <v/>
      </c>
      <c r="C142" s="13"/>
      <c r="D142" s="13"/>
      <c r="E142" s="13"/>
      <c r="F142" s="13"/>
      <c r="G142" s="16"/>
      <c r="H142" s="13"/>
      <c r="I142" s="13"/>
      <c r="J142" s="13"/>
      <c r="K142" s="16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</row>
    <row r="143" spans="1:48" ht="13.05" customHeight="1" x14ac:dyDescent="0.3">
      <c r="A143" s="13"/>
      <c r="B143" s="34" t="str">
        <f t="shared" si="4"/>
        <v/>
      </c>
      <c r="C143" s="13"/>
      <c r="D143" s="13"/>
      <c r="E143" s="13"/>
      <c r="F143" s="13"/>
      <c r="G143" s="16"/>
      <c r="H143" s="13"/>
      <c r="I143" s="13"/>
      <c r="J143" s="13"/>
      <c r="K143" s="16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</row>
    <row r="144" spans="1:48" ht="13.05" customHeight="1" x14ac:dyDescent="0.3">
      <c r="A144" s="13"/>
      <c r="B144" s="34" t="str">
        <f t="shared" si="4"/>
        <v/>
      </c>
      <c r="C144" s="13"/>
      <c r="D144" s="13"/>
      <c r="E144" s="13"/>
      <c r="F144" s="13"/>
      <c r="G144" s="16"/>
      <c r="H144" s="13"/>
      <c r="I144" s="13"/>
      <c r="J144" s="13"/>
      <c r="K144" s="16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</row>
    <row r="145" spans="1:48" ht="13.05" customHeight="1" x14ac:dyDescent="0.3">
      <c r="A145" s="13"/>
      <c r="B145" s="34" t="str">
        <f t="shared" si="4"/>
        <v/>
      </c>
      <c r="C145" s="13"/>
      <c r="D145" s="13"/>
      <c r="E145" s="13"/>
      <c r="F145" s="13"/>
      <c r="G145" s="16"/>
      <c r="H145" s="13"/>
      <c r="I145" s="13"/>
      <c r="J145" s="13"/>
      <c r="K145" s="16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</row>
    <row r="146" spans="1:48" ht="13.05" customHeight="1" x14ac:dyDescent="0.3">
      <c r="A146" s="13"/>
      <c r="B146" s="34" t="str">
        <f t="shared" si="4"/>
        <v/>
      </c>
      <c r="C146" s="13"/>
      <c r="D146" s="13"/>
      <c r="E146" s="13"/>
      <c r="F146" s="13"/>
      <c r="G146" s="16"/>
      <c r="H146" s="13"/>
      <c r="I146" s="13"/>
      <c r="J146" s="13"/>
      <c r="K146" s="16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</row>
    <row r="147" spans="1:48" ht="13.05" customHeight="1" x14ac:dyDescent="0.3">
      <c r="A147" s="13"/>
      <c r="B147" s="34" t="str">
        <f t="shared" si="4"/>
        <v/>
      </c>
      <c r="C147" s="13"/>
      <c r="D147" s="13"/>
      <c r="E147" s="13"/>
      <c r="F147" s="13"/>
      <c r="G147" s="16"/>
      <c r="H147" s="13"/>
      <c r="I147" s="13"/>
      <c r="J147" s="13"/>
      <c r="K147" s="16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</row>
    <row r="148" spans="1:48" ht="13.05" customHeight="1" x14ac:dyDescent="0.3">
      <c r="A148" s="13"/>
      <c r="B148" s="34" t="str">
        <f t="shared" si="4"/>
        <v/>
      </c>
      <c r="C148" s="13"/>
      <c r="D148" s="13"/>
      <c r="E148" s="13"/>
      <c r="F148" s="13"/>
      <c r="G148" s="16"/>
      <c r="H148" s="13"/>
      <c r="I148" s="13"/>
      <c r="J148" s="13"/>
      <c r="K148" s="16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</row>
    <row r="149" spans="1:48" ht="13.05" customHeight="1" x14ac:dyDescent="0.3">
      <c r="A149" s="13"/>
      <c r="B149" s="34" t="str">
        <f t="shared" si="4"/>
        <v/>
      </c>
      <c r="C149" s="13"/>
      <c r="D149" s="13"/>
      <c r="E149" s="13"/>
      <c r="F149" s="13"/>
      <c r="G149" s="16"/>
      <c r="H149" s="13"/>
      <c r="I149" s="13"/>
      <c r="J149" s="13"/>
      <c r="K149" s="16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</row>
    <row r="150" spans="1:48" ht="13.05" customHeight="1" x14ac:dyDescent="0.3">
      <c r="A150" s="13"/>
      <c r="B150" s="34" t="str">
        <f t="shared" si="4"/>
        <v/>
      </c>
      <c r="C150" s="13"/>
      <c r="D150" s="13"/>
      <c r="E150" s="13"/>
      <c r="F150" s="13"/>
      <c r="G150" s="16"/>
      <c r="H150" s="13"/>
      <c r="I150" s="13"/>
      <c r="J150" s="13"/>
      <c r="K150" s="16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</row>
    <row r="151" spans="1:48" ht="13.05" customHeight="1" x14ac:dyDescent="0.3">
      <c r="A151" s="13"/>
      <c r="B151" s="34" t="str">
        <f t="shared" si="4"/>
        <v/>
      </c>
      <c r="C151" s="13"/>
      <c r="D151" s="13"/>
      <c r="E151" s="13"/>
      <c r="F151" s="13"/>
      <c r="G151" s="16"/>
      <c r="H151" s="13"/>
      <c r="I151" s="13"/>
      <c r="J151" s="13"/>
      <c r="K151" s="16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</row>
    <row r="152" spans="1:48" ht="13.05" customHeight="1" x14ac:dyDescent="0.3">
      <c r="A152" s="13"/>
      <c r="B152" s="34" t="str">
        <f t="shared" si="4"/>
        <v/>
      </c>
      <c r="C152" s="13"/>
      <c r="D152" s="13"/>
      <c r="E152" s="13"/>
      <c r="F152" s="13"/>
      <c r="G152" s="16"/>
      <c r="H152" s="13"/>
      <c r="I152" s="13"/>
      <c r="J152" s="13"/>
      <c r="K152" s="16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</row>
    <row r="153" spans="1:48" ht="13.05" customHeight="1" x14ac:dyDescent="0.3">
      <c r="A153" s="13"/>
      <c r="B153" s="34" t="str">
        <f t="shared" si="4"/>
        <v/>
      </c>
      <c r="C153" s="13"/>
      <c r="D153" s="13"/>
      <c r="E153" s="13"/>
      <c r="F153" s="13"/>
      <c r="G153" s="16"/>
      <c r="H153" s="13"/>
      <c r="I153" s="13"/>
      <c r="J153" s="13"/>
      <c r="K153" s="16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</row>
    <row r="154" spans="1:48" ht="13.05" customHeight="1" x14ac:dyDescent="0.3">
      <c r="A154" s="13"/>
      <c r="B154" s="34" t="str">
        <f t="shared" si="4"/>
        <v/>
      </c>
      <c r="C154" s="13"/>
      <c r="D154" s="13"/>
      <c r="E154" s="13"/>
      <c r="F154" s="13"/>
      <c r="G154" s="16"/>
      <c r="H154" s="13"/>
      <c r="I154" s="13"/>
      <c r="J154" s="13"/>
      <c r="K154" s="16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</row>
    <row r="155" spans="1:48" ht="13.05" customHeight="1" x14ac:dyDescent="0.3">
      <c r="A155" s="13"/>
      <c r="B155" s="34" t="str">
        <f t="shared" si="4"/>
        <v/>
      </c>
      <c r="C155" s="13"/>
      <c r="D155" s="13"/>
      <c r="E155" s="13"/>
      <c r="F155" s="13"/>
      <c r="G155" s="16"/>
      <c r="H155" s="13"/>
      <c r="I155" s="13"/>
      <c r="J155" s="13"/>
      <c r="K155" s="16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</row>
    <row r="156" spans="1:48" ht="13.05" customHeight="1" x14ac:dyDescent="0.3">
      <c r="A156" s="13"/>
      <c r="B156" s="13"/>
      <c r="C156" s="13"/>
      <c r="D156" s="13"/>
      <c r="E156" s="13"/>
      <c r="F156" s="13"/>
      <c r="G156" s="16"/>
      <c r="H156" s="13"/>
      <c r="I156" s="13"/>
      <c r="J156" s="13"/>
      <c r="K156" s="16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</row>
    <row r="157" spans="1:48" ht="13.05" customHeight="1" x14ac:dyDescent="0.3">
      <c r="A157" s="13"/>
      <c r="B157" s="13"/>
      <c r="C157" s="13"/>
      <c r="D157" s="13"/>
      <c r="E157" s="13"/>
      <c r="F157" s="13"/>
      <c r="G157" s="16"/>
      <c r="H157" s="13"/>
      <c r="I157" s="13"/>
      <c r="J157" s="13"/>
      <c r="K157" s="16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</row>
    <row r="158" spans="1:48" ht="13.05" customHeight="1" x14ac:dyDescent="0.3">
      <c r="A158" s="13"/>
      <c r="B158" s="13"/>
      <c r="C158" s="13"/>
      <c r="D158" s="13"/>
      <c r="E158" s="13"/>
      <c r="F158" s="13"/>
      <c r="G158" s="16"/>
      <c r="H158" s="13"/>
      <c r="I158" s="13"/>
      <c r="J158" s="13"/>
      <c r="K158" s="16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</row>
    <row r="159" spans="1:48" ht="13.05" customHeight="1" x14ac:dyDescent="0.3">
      <c r="A159" s="13"/>
      <c r="B159" s="13"/>
      <c r="C159" s="13"/>
      <c r="D159" s="13"/>
      <c r="E159" s="13"/>
      <c r="F159" s="13"/>
      <c r="G159" s="16"/>
      <c r="H159" s="13"/>
      <c r="I159" s="13"/>
      <c r="J159" s="13"/>
      <c r="K159" s="16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</row>
    <row r="160" spans="1:48" ht="13.05" customHeight="1" x14ac:dyDescent="0.3">
      <c r="A160" s="13"/>
      <c r="B160" s="13"/>
      <c r="C160" s="13"/>
      <c r="D160" s="13"/>
      <c r="E160" s="13"/>
      <c r="F160" s="13"/>
      <c r="G160" s="16"/>
      <c r="H160" s="13"/>
      <c r="I160" s="13"/>
      <c r="J160" s="13"/>
      <c r="K160" s="16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</row>
    <row r="161" spans="1:48" ht="13.05" customHeight="1" x14ac:dyDescent="0.3">
      <c r="A161" s="13"/>
      <c r="B161" s="13"/>
      <c r="C161" s="13"/>
      <c r="D161" s="13"/>
      <c r="E161" s="13"/>
      <c r="F161" s="13"/>
      <c r="G161" s="16"/>
      <c r="H161" s="13"/>
      <c r="I161" s="13"/>
      <c r="J161" s="13"/>
      <c r="K161" s="16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</row>
    <row r="162" spans="1:48" ht="13.05" customHeight="1" x14ac:dyDescent="0.3">
      <c r="A162" s="13"/>
      <c r="B162" s="13"/>
      <c r="C162" s="13"/>
      <c r="D162" s="13"/>
      <c r="E162" s="13"/>
      <c r="F162" s="13"/>
      <c r="G162" s="16"/>
      <c r="H162" s="13"/>
      <c r="I162" s="13"/>
      <c r="J162" s="13"/>
      <c r="K162" s="16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</row>
    <row r="163" spans="1:48" ht="13.05" customHeight="1" x14ac:dyDescent="0.3">
      <c r="A163" s="13"/>
      <c r="B163" s="13"/>
      <c r="C163" s="13"/>
      <c r="D163" s="13"/>
      <c r="E163" s="13"/>
      <c r="F163" s="13"/>
      <c r="G163" s="16"/>
      <c r="H163" s="13"/>
      <c r="I163" s="13"/>
      <c r="J163" s="13"/>
      <c r="K163" s="16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</row>
    <row r="164" spans="1:48" ht="13.05" customHeight="1" x14ac:dyDescent="0.3">
      <c r="A164" s="13"/>
      <c r="B164" s="13"/>
      <c r="C164" s="13"/>
      <c r="D164" s="13"/>
      <c r="E164" s="13"/>
      <c r="F164" s="13"/>
      <c r="G164" s="16"/>
      <c r="H164" s="13"/>
      <c r="I164" s="13"/>
      <c r="J164" s="13"/>
      <c r="K164" s="16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</row>
    <row r="165" spans="1:48" ht="13.05" customHeight="1" x14ac:dyDescent="0.3">
      <c r="A165" s="13"/>
      <c r="B165" s="13"/>
      <c r="C165" s="13"/>
      <c r="D165" s="13"/>
      <c r="E165" s="13"/>
      <c r="F165" s="13"/>
      <c r="G165" s="16"/>
      <c r="H165" s="13"/>
      <c r="I165" s="13"/>
      <c r="J165" s="13"/>
      <c r="K165" s="16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</row>
    <row r="166" spans="1:48" ht="13.05" customHeight="1" x14ac:dyDescent="0.3">
      <c r="A166" s="13"/>
      <c r="B166" s="13"/>
      <c r="C166" s="13"/>
      <c r="D166" s="13"/>
      <c r="E166" s="13"/>
      <c r="F166" s="13"/>
      <c r="G166" s="16"/>
      <c r="H166" s="13"/>
      <c r="I166" s="13"/>
      <c r="J166" s="13"/>
      <c r="K166" s="16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</row>
    <row r="167" spans="1:48" ht="13.05" customHeight="1" x14ac:dyDescent="0.3">
      <c r="A167" s="13"/>
      <c r="B167" s="13"/>
      <c r="C167" s="13"/>
      <c r="D167" s="13"/>
      <c r="E167" s="13"/>
      <c r="F167" s="13"/>
      <c r="G167" s="16"/>
      <c r="H167" s="13"/>
      <c r="I167" s="13"/>
      <c r="J167" s="13"/>
      <c r="K167" s="16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</row>
    <row r="168" spans="1:48" ht="13.05" customHeight="1" x14ac:dyDescent="0.3">
      <c r="A168" s="13"/>
      <c r="B168" s="13"/>
      <c r="C168" s="13"/>
      <c r="D168" s="13"/>
      <c r="E168" s="13"/>
      <c r="F168" s="13"/>
      <c r="G168" s="16"/>
      <c r="H168" s="13"/>
      <c r="I168" s="13"/>
      <c r="J168" s="13"/>
      <c r="K168" s="16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</row>
    <row r="169" spans="1:48" ht="13.05" customHeight="1" x14ac:dyDescent="0.3">
      <c r="A169" s="13"/>
      <c r="B169" s="13"/>
      <c r="C169" s="13"/>
      <c r="D169" s="13"/>
      <c r="E169" s="13"/>
      <c r="F169" s="13"/>
      <c r="G169" s="16"/>
      <c r="H169" s="13"/>
      <c r="I169" s="13"/>
      <c r="J169" s="13"/>
      <c r="K169" s="16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</row>
    <row r="170" spans="1:48" ht="13.05" customHeight="1" x14ac:dyDescent="0.3">
      <c r="A170" s="13"/>
      <c r="B170" s="13"/>
      <c r="C170" s="13"/>
      <c r="D170" s="13"/>
      <c r="E170" s="13"/>
      <c r="F170" s="13"/>
      <c r="G170" s="16"/>
      <c r="H170" s="13"/>
      <c r="I170" s="13"/>
      <c r="J170" s="13"/>
      <c r="K170" s="16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</row>
    <row r="171" spans="1:48" ht="13.05" customHeight="1" x14ac:dyDescent="0.3">
      <c r="A171" s="13"/>
      <c r="B171" s="13"/>
      <c r="C171" s="13"/>
      <c r="D171" s="13"/>
      <c r="E171" s="13"/>
      <c r="F171" s="13"/>
      <c r="G171" s="16"/>
      <c r="H171" s="13"/>
      <c r="I171" s="13"/>
      <c r="J171" s="13"/>
      <c r="K171" s="16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</row>
    <row r="172" spans="1:48" ht="13.05" customHeight="1" x14ac:dyDescent="0.3">
      <c r="A172" s="13"/>
      <c r="B172" s="13"/>
      <c r="C172" s="13"/>
      <c r="D172" s="13"/>
      <c r="E172" s="13"/>
      <c r="F172" s="13"/>
      <c r="G172" s="16"/>
      <c r="H172" s="13"/>
      <c r="I172" s="13"/>
      <c r="J172" s="13"/>
      <c r="K172" s="16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</row>
    <row r="173" spans="1:48" ht="13.05" customHeight="1" x14ac:dyDescent="0.3">
      <c r="A173" s="13"/>
      <c r="B173" s="13"/>
      <c r="C173" s="13"/>
      <c r="D173" s="13"/>
      <c r="E173" s="13"/>
      <c r="F173" s="13"/>
      <c r="G173" s="16"/>
      <c r="H173" s="13"/>
      <c r="I173" s="13"/>
      <c r="J173" s="13"/>
      <c r="K173" s="16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</row>
    <row r="174" spans="1:48" ht="13.05" customHeight="1" x14ac:dyDescent="0.3">
      <c r="A174" s="13"/>
      <c r="B174" s="13"/>
      <c r="C174" s="13"/>
      <c r="D174" s="13"/>
      <c r="E174" s="13"/>
      <c r="F174" s="13"/>
      <c r="G174" s="16"/>
      <c r="H174" s="13"/>
      <c r="I174" s="13"/>
      <c r="J174" s="13"/>
      <c r="K174" s="16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</row>
    <row r="175" spans="1:48" ht="13.05" customHeight="1" x14ac:dyDescent="0.3">
      <c r="A175" s="13"/>
      <c r="B175" s="13"/>
      <c r="C175" s="13"/>
      <c r="D175" s="13"/>
      <c r="E175" s="13"/>
      <c r="F175" s="13"/>
      <c r="G175" s="16"/>
      <c r="H175" s="13"/>
      <c r="I175" s="13"/>
      <c r="J175" s="13"/>
      <c r="K175" s="16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</row>
    <row r="176" spans="1:48" ht="13.05" customHeight="1" x14ac:dyDescent="0.3">
      <c r="A176" s="13"/>
      <c r="B176" s="13"/>
      <c r="C176" s="13"/>
      <c r="D176" s="13"/>
      <c r="E176" s="13"/>
      <c r="F176" s="13"/>
      <c r="G176" s="16"/>
      <c r="H176" s="13"/>
      <c r="I176" s="13"/>
      <c r="J176" s="13"/>
      <c r="K176" s="16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</row>
    <row r="177" spans="1:48" ht="13.05" customHeight="1" x14ac:dyDescent="0.3">
      <c r="A177" s="13"/>
      <c r="B177" s="13"/>
      <c r="C177" s="13"/>
      <c r="D177" s="13"/>
      <c r="E177" s="13"/>
      <c r="F177" s="13"/>
      <c r="G177" s="16"/>
      <c r="H177" s="13"/>
      <c r="I177" s="13"/>
      <c r="J177" s="13"/>
      <c r="K177" s="16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</row>
    <row r="178" spans="1:48" ht="13.05" customHeight="1" x14ac:dyDescent="0.3">
      <c r="A178" s="13"/>
      <c r="B178" s="13"/>
      <c r="C178" s="13"/>
      <c r="D178" s="13"/>
      <c r="E178" s="13"/>
      <c r="F178" s="13"/>
      <c r="G178" s="16"/>
      <c r="H178" s="13"/>
      <c r="I178" s="13"/>
      <c r="J178" s="13"/>
      <c r="K178" s="16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</row>
    <row r="179" spans="1:48" ht="13.05" customHeight="1" x14ac:dyDescent="0.3">
      <c r="A179" s="13"/>
      <c r="B179" s="13"/>
      <c r="C179" s="13"/>
      <c r="D179" s="13"/>
      <c r="E179" s="13"/>
      <c r="F179" s="13"/>
      <c r="G179" s="16"/>
      <c r="H179" s="13"/>
      <c r="I179" s="13"/>
      <c r="J179" s="13"/>
      <c r="K179" s="16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</row>
    <row r="180" spans="1:48" ht="13.05" customHeight="1" x14ac:dyDescent="0.3">
      <c r="A180" s="13"/>
      <c r="B180" s="13"/>
      <c r="C180" s="13"/>
      <c r="D180" s="13"/>
      <c r="E180" s="13"/>
      <c r="F180" s="13"/>
      <c r="G180" s="16"/>
      <c r="H180" s="13"/>
      <c r="I180" s="13"/>
      <c r="J180" s="13"/>
      <c r="K180" s="16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</row>
    <row r="181" spans="1:48" ht="13.05" customHeight="1" x14ac:dyDescent="0.3">
      <c r="A181" s="13"/>
      <c r="B181" s="13"/>
      <c r="C181" s="13"/>
      <c r="D181" s="13"/>
      <c r="E181" s="13"/>
      <c r="F181" s="13"/>
      <c r="G181" s="16"/>
      <c r="H181" s="13"/>
      <c r="I181" s="13"/>
      <c r="J181" s="13"/>
      <c r="K181" s="16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</row>
    <row r="182" spans="1:48" ht="13.05" customHeight="1" x14ac:dyDescent="0.3">
      <c r="A182" s="13"/>
      <c r="B182" s="13"/>
      <c r="C182" s="13"/>
      <c r="D182" s="13"/>
      <c r="E182" s="13"/>
      <c r="F182" s="13"/>
      <c r="G182" s="16"/>
      <c r="H182" s="13"/>
      <c r="I182" s="13"/>
      <c r="J182" s="13"/>
      <c r="K182" s="16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</row>
    <row r="183" spans="1:48" ht="13.05" customHeight="1" x14ac:dyDescent="0.3">
      <c r="A183" s="13"/>
      <c r="B183" s="13"/>
      <c r="C183" s="13"/>
      <c r="D183" s="13"/>
      <c r="E183" s="13"/>
      <c r="F183" s="13"/>
      <c r="G183" s="16"/>
      <c r="H183" s="13"/>
      <c r="I183" s="13"/>
      <c r="J183" s="13"/>
      <c r="K183" s="16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</row>
    <row r="184" spans="1:48" ht="13.05" customHeight="1" x14ac:dyDescent="0.3">
      <c r="A184" s="13"/>
      <c r="B184" s="13"/>
      <c r="C184" s="13"/>
      <c r="D184" s="13"/>
      <c r="E184" s="13"/>
      <c r="F184" s="13"/>
      <c r="G184" s="16"/>
      <c r="H184" s="13"/>
      <c r="I184" s="13"/>
      <c r="J184" s="13"/>
      <c r="K184" s="16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</row>
    <row r="185" spans="1:48" ht="13.05" customHeight="1" x14ac:dyDescent="0.3">
      <c r="A185" s="13"/>
      <c r="B185" s="13"/>
      <c r="C185" s="13"/>
      <c r="D185" s="13"/>
      <c r="E185" s="13"/>
      <c r="F185" s="13"/>
      <c r="G185" s="16"/>
      <c r="H185" s="13"/>
      <c r="I185" s="13"/>
      <c r="J185" s="13"/>
      <c r="K185" s="16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</row>
    <row r="186" spans="1:48" ht="13.05" customHeight="1" x14ac:dyDescent="0.3">
      <c r="A186" s="13"/>
      <c r="B186" s="13"/>
      <c r="C186" s="13"/>
      <c r="D186" s="13"/>
      <c r="E186" s="13"/>
      <c r="F186" s="13"/>
      <c r="G186" s="16"/>
      <c r="H186" s="13"/>
      <c r="I186" s="13"/>
      <c r="J186" s="13"/>
      <c r="K186" s="16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</row>
    <row r="187" spans="1:48" ht="13.05" customHeight="1" x14ac:dyDescent="0.3">
      <c r="A187" s="13"/>
      <c r="B187" s="13"/>
      <c r="C187" s="13"/>
      <c r="D187" s="13"/>
      <c r="E187" s="13"/>
      <c r="F187" s="13"/>
      <c r="G187" s="16"/>
      <c r="H187" s="13"/>
      <c r="I187" s="13"/>
      <c r="J187" s="13"/>
      <c r="K187" s="16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</row>
    <row r="188" spans="1:48" ht="13.05" customHeight="1" x14ac:dyDescent="0.3">
      <c r="A188" s="13"/>
      <c r="B188" s="13"/>
      <c r="C188" s="13"/>
      <c r="D188" s="13"/>
      <c r="E188" s="13"/>
      <c r="F188" s="13"/>
      <c r="G188" s="16"/>
      <c r="H188" s="13"/>
      <c r="I188" s="13"/>
      <c r="J188" s="13"/>
      <c r="K188" s="16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</row>
    <row r="189" spans="1:48" ht="13.05" customHeight="1" x14ac:dyDescent="0.3">
      <c r="A189" s="13"/>
      <c r="B189" s="13"/>
      <c r="C189" s="13"/>
      <c r="D189" s="13"/>
      <c r="E189" s="13"/>
      <c r="F189" s="13"/>
      <c r="G189" s="16"/>
      <c r="H189" s="13"/>
      <c r="I189" s="13"/>
      <c r="J189" s="13"/>
      <c r="K189" s="16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</row>
    <row r="190" spans="1:48" ht="13.05" customHeight="1" x14ac:dyDescent="0.3">
      <c r="A190" s="13"/>
      <c r="B190" s="13"/>
      <c r="C190" s="13"/>
      <c r="D190" s="13"/>
      <c r="E190" s="13"/>
      <c r="F190" s="13"/>
      <c r="G190" s="16"/>
      <c r="H190" s="13"/>
      <c r="I190" s="13"/>
      <c r="J190" s="13"/>
      <c r="K190" s="16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</row>
    <row r="191" spans="1:48" ht="13.05" customHeight="1" x14ac:dyDescent="0.3">
      <c r="A191" s="13"/>
      <c r="B191" s="13"/>
      <c r="C191" s="13"/>
      <c r="D191" s="13"/>
      <c r="E191" s="13"/>
      <c r="F191" s="13"/>
      <c r="G191" s="16"/>
      <c r="H191" s="13"/>
      <c r="I191" s="13"/>
      <c r="J191" s="13"/>
      <c r="K191" s="16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</row>
    <row r="192" spans="1:48" ht="13.05" customHeight="1" x14ac:dyDescent="0.3">
      <c r="A192" s="13"/>
      <c r="B192" s="13"/>
      <c r="C192" s="13"/>
      <c r="D192" s="13"/>
      <c r="E192" s="13"/>
      <c r="F192" s="13"/>
      <c r="G192" s="16"/>
      <c r="H192" s="13"/>
      <c r="I192" s="13"/>
      <c r="J192" s="13"/>
      <c r="K192" s="16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</row>
    <row r="193" spans="1:48" ht="13.05" customHeight="1" x14ac:dyDescent="0.3">
      <c r="A193" s="13"/>
      <c r="B193" s="13"/>
      <c r="C193" s="13"/>
      <c r="D193" s="13"/>
      <c r="E193" s="13"/>
      <c r="F193" s="13"/>
      <c r="G193" s="16"/>
      <c r="H193" s="13"/>
      <c r="I193" s="13"/>
      <c r="J193" s="13"/>
      <c r="K193" s="16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</row>
    <row r="194" spans="1:48" ht="13.05" customHeight="1" x14ac:dyDescent="0.3">
      <c r="A194" s="13"/>
      <c r="B194" s="13"/>
      <c r="C194" s="13"/>
      <c r="D194" s="13"/>
      <c r="E194" s="13"/>
      <c r="F194" s="13"/>
      <c r="G194" s="16"/>
      <c r="H194" s="13"/>
      <c r="I194" s="13"/>
      <c r="J194" s="13"/>
      <c r="K194" s="16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</row>
    <row r="195" spans="1:48" ht="13.05" customHeight="1" x14ac:dyDescent="0.3">
      <c r="A195" s="13"/>
      <c r="B195" s="13"/>
      <c r="C195" s="13"/>
      <c r="D195" s="13"/>
      <c r="E195" s="13"/>
      <c r="F195" s="13"/>
      <c r="G195" s="16"/>
      <c r="H195" s="13"/>
      <c r="I195" s="13"/>
      <c r="J195" s="13"/>
      <c r="K195" s="16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</row>
    <row r="196" spans="1:48" ht="13.05" customHeight="1" x14ac:dyDescent="0.3">
      <c r="A196" s="13"/>
      <c r="B196" s="13"/>
      <c r="C196" s="13"/>
      <c r="D196" s="13"/>
      <c r="E196" s="13"/>
      <c r="F196" s="13"/>
      <c r="G196" s="16"/>
      <c r="H196" s="13"/>
      <c r="I196" s="13"/>
      <c r="J196" s="13"/>
      <c r="K196" s="16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</row>
    <row r="197" spans="1:48" ht="13.05" customHeight="1" x14ac:dyDescent="0.3">
      <c r="A197" s="13"/>
      <c r="B197" s="13"/>
      <c r="C197" s="13"/>
      <c r="D197" s="13"/>
      <c r="E197" s="13"/>
      <c r="F197" s="13"/>
      <c r="G197" s="16"/>
      <c r="H197" s="13"/>
      <c r="I197" s="13"/>
      <c r="J197" s="13"/>
      <c r="K197" s="16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</row>
    <row r="198" spans="1:48" ht="13.05" customHeight="1" x14ac:dyDescent="0.3">
      <c r="A198" s="13"/>
      <c r="B198" s="13"/>
      <c r="C198" s="13"/>
      <c r="D198" s="13"/>
      <c r="E198" s="13"/>
      <c r="F198" s="13"/>
      <c r="G198" s="16"/>
      <c r="H198" s="13"/>
      <c r="I198" s="13"/>
      <c r="J198" s="13"/>
      <c r="K198" s="16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</row>
    <row r="199" spans="1:48" ht="13.05" customHeight="1" x14ac:dyDescent="0.3">
      <c r="A199" s="13"/>
      <c r="B199" s="13"/>
      <c r="C199" s="13"/>
      <c r="D199" s="13"/>
      <c r="E199" s="13"/>
      <c r="F199" s="13"/>
      <c r="G199" s="16"/>
      <c r="H199" s="13"/>
      <c r="I199" s="13"/>
      <c r="J199" s="13"/>
      <c r="K199" s="16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</row>
    <row r="200" spans="1:48" ht="13.05" customHeight="1" x14ac:dyDescent="0.3">
      <c r="A200" s="13"/>
      <c r="B200" s="13"/>
      <c r="C200" s="13"/>
      <c r="D200" s="13"/>
      <c r="E200" s="13"/>
      <c r="F200" s="13"/>
      <c r="G200" s="16"/>
      <c r="H200" s="13"/>
      <c r="I200" s="13"/>
      <c r="J200" s="13"/>
      <c r="K200" s="16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</row>
  </sheetData>
  <dataValidations count="7">
    <dataValidation type="list" allowBlank="1" showInputMessage="1" showErrorMessage="1" promptTitle="Category" prompt="Select category" sqref="D6:D155" xr:uid="{00000000-0002-0000-0500-000000000000}">
      <formula1>"Technical,Schedule,Cost,Resource,External,Quality,Legal"</formula1>
    </dataValidation>
    <dataValidation type="list" allowBlank="1" showInputMessage="1" showErrorMessage="1" promptTitle="Decision Made By" prompt="Select who made the decision" sqref="E6:E155" xr:uid="{00000000-0002-0000-0500-000001000000}">
      <formula1>"Sarah Chen,James Rodriguez,Emily Watson,David Kim,Priya Patel,Marcus Johnson,Lisa Chang"</formula1>
    </dataValidation>
    <dataValidation type="list" allowBlank="1" showInputMessage="1" showErrorMessage="1" promptTitle="Decision Type" prompt="Select decision type" sqref="H6:H155" xr:uid="{00000000-0002-0000-0500-000002000000}">
      <formula1>"Strategic,Tactical,Operational"</formula1>
    </dataValidation>
    <dataValidation type="list" allowBlank="1" showInputMessage="1" showErrorMessage="1" promptTitle="Assigned To" prompt="Select responsible person" sqref="M6:M155" xr:uid="{00000000-0002-0000-0500-000003000000}">
      <formula1>"Sarah Chen,James Rodriguez,Emily Watson,David Kim,Priya Patel,Marcus Johnson,Lisa Chang"</formula1>
    </dataValidation>
    <dataValidation type="list" allowBlank="1" showInputMessage="1" showErrorMessage="1" promptTitle="Status" prompt="Select decision status" sqref="O6:O155" xr:uid="{00000000-0002-0000-0500-000004000000}">
      <formula1>"Pending,Approved,Rejected,Deferred,Implemented"</formula1>
    </dataValidation>
    <dataValidation type="list" allowBlank="1" showInputMessage="1" showErrorMessage="1" promptTitle="Filter ASSOC. ID by Type" prompt="Select the type of associated item to filter the ID list below" sqref="C4" xr:uid="{00000000-0002-0000-0500-000005000000}">
      <formula1>"Risk,Action,Issue"</formula1>
    </dataValidation>
    <dataValidation type="list" allowBlank="1" showInputMessage="1" showErrorMessage="1" promptTitle="Associated ID" prompt="Change C4 to filter by type" sqref="C6:C155" xr:uid="{00000000-0002-0000-0500-000006000000}">
      <formula1>"Config!$R$2:$R$1000"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718096"/>
  </sheetPr>
  <dimension ref="A1:AS573"/>
  <sheetViews>
    <sheetView showGridLines="0" zoomScaleNormal="100" workbookViewId="0">
      <selection activeCell="A16" sqref="A16"/>
    </sheetView>
  </sheetViews>
  <sheetFormatPr defaultRowHeight="13.2" x14ac:dyDescent="0.25"/>
  <cols>
    <col min="1" max="1" width="25.88671875" bestFit="1" customWidth="1"/>
    <col min="2" max="2" width="25.77734375" bestFit="1" customWidth="1"/>
    <col min="3" max="3" width="29.5546875" bestFit="1" customWidth="1"/>
    <col min="4" max="4" width="22.44140625" bestFit="1" customWidth="1"/>
    <col min="5" max="5" width="10.21875" bestFit="1" customWidth="1"/>
    <col min="6" max="6" width="13.109375" bestFit="1" customWidth="1"/>
    <col min="7" max="7" width="12.21875" bestFit="1" customWidth="1"/>
    <col min="8" max="8" width="13.77734375" bestFit="1" customWidth="1"/>
    <col min="9" max="9" width="14.33203125" bestFit="1" customWidth="1"/>
    <col min="10" max="10" width="11.77734375" bestFit="1" customWidth="1"/>
    <col min="11" max="11" width="13.77734375" bestFit="1" customWidth="1"/>
    <col min="12" max="12" width="7.77734375" bestFit="1" customWidth="1"/>
    <col min="13" max="13" width="9.5546875" bestFit="1" customWidth="1"/>
    <col min="14" max="14" width="8.5546875" bestFit="1" customWidth="1"/>
    <col min="15" max="15" width="11.44140625" bestFit="1" customWidth="1"/>
    <col min="16" max="17" width="11.109375" customWidth="1"/>
    <col min="18" max="18" width="14.44140625" bestFit="1" customWidth="1"/>
    <col min="19" max="20" width="11.109375" customWidth="1"/>
  </cols>
  <sheetData>
    <row r="1" spans="1:45" ht="14.55" customHeight="1" x14ac:dyDescent="0.3">
      <c r="A1" s="13"/>
      <c r="B1" s="18" t="s">
        <v>130</v>
      </c>
      <c r="C1" s="14"/>
      <c r="D1" s="13"/>
      <c r="E1" s="20" t="s">
        <v>131</v>
      </c>
      <c r="F1" s="20" t="s">
        <v>132</v>
      </c>
      <c r="G1" s="20" t="s">
        <v>133</v>
      </c>
      <c r="H1" s="20" t="s">
        <v>134</v>
      </c>
      <c r="I1" s="20" t="s">
        <v>135</v>
      </c>
      <c r="J1" s="20" t="s">
        <v>136</v>
      </c>
      <c r="K1" s="20" t="s">
        <v>137</v>
      </c>
      <c r="L1" s="104" t="s">
        <v>138</v>
      </c>
      <c r="M1" s="104" t="s">
        <v>139</v>
      </c>
      <c r="N1" s="104" t="s">
        <v>140</v>
      </c>
      <c r="O1" s="104" t="s">
        <v>141</v>
      </c>
      <c r="P1" s="115" t="s">
        <v>243</v>
      </c>
      <c r="Q1" s="104" t="s">
        <v>142</v>
      </c>
      <c r="R1" s="104" t="s">
        <v>143</v>
      </c>
      <c r="S1" s="104" t="s">
        <v>144</v>
      </c>
      <c r="T1" s="104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</row>
    <row r="2" spans="1:45" ht="13.05" customHeight="1" x14ac:dyDescent="0.3">
      <c r="A2" s="13"/>
      <c r="B2" s="17" t="s">
        <v>145</v>
      </c>
      <c r="C2" s="13" t="s">
        <v>146</v>
      </c>
      <c r="D2" s="13"/>
      <c r="E2" s="13" t="s">
        <v>84</v>
      </c>
      <c r="F2" s="13" t="s">
        <v>85</v>
      </c>
      <c r="G2" s="13" t="s">
        <v>147</v>
      </c>
      <c r="H2" s="13" t="s">
        <v>119</v>
      </c>
      <c r="I2" s="13" t="s">
        <v>118</v>
      </c>
      <c r="J2" s="13" t="s">
        <v>148</v>
      </c>
      <c r="K2" s="13" t="s">
        <v>149</v>
      </c>
      <c r="L2" t="str">
        <f t="array" ref="L2:L17">IFERROR(_xlfn._xlws.FILTER(Risks!B6:B151,Risks!B6:B151&lt;&gt;""),"")</f>
        <v>R001</v>
      </c>
      <c r="M2" t="str">
        <f t="array" ref="M2:M11">IFERROR(_xlfn._xlws.FILTER(Actions!B6:B155,Actions!B6:B155&lt;&gt;""),"")</f>
        <v/>
      </c>
      <c r="N2" t="str">
        <f t="array" ref="N2:N11">IFERROR(_xlfn._xlws.FILTER(Issues!B6:B155,Issues!B6:B155&lt;&gt;""),"")</f>
        <v/>
      </c>
      <c r="O2" t="str">
        <f t="array" ref="O2:O9">IFERROR(_xlfn._xlws.FILTER(Decisions!B6:B155,Decisions!B6:B155&lt;&gt;""),"")</f>
        <v/>
      </c>
      <c r="P2" t="e">
        <f t="array" ref="P2:P11">_xlfn._xlws.FILTER(_xlfn.VSTACK(L2:L155,M2:M155,N2:N155,O2:O155),LEFT(_xlfn.VSTACK(L2:L155,M2:M155,N2:N155,O2:O155),1)=LEFT(Actions!D4,1),"")</f>
        <v>#N/A</v>
      </c>
      <c r="Q2" t="e">
        <f t="array" ref="Q2:Q17">_xlfn._xlws.FILTER(_xlfn.VSTACK(L2:L155,M2:M155,N2:N155,O2:O155),LEFT(_xlfn.VSTACK(L2:L155,M2:M155,N2:N155,O2:O155),1)=LEFT(Issues!$C$4,1),"")</f>
        <v>#N/A</v>
      </c>
      <c r="R2" t="e">
        <f t="array" ref="R2:R17">_xlfn._xlws.FILTER(_xlfn.VSTACK(L2:L155,M2:M155,N2:N155,O2:O155),LEFT(_xlfn.VSTACK(L2:L155,M2:M155,N2:N155,O2:O155),1)=LEFT(Decisions!$C$4,1),"")</f>
        <v>#N/A</v>
      </c>
      <c r="S2" t="e">
        <f t="array" ref="S2:S573">_xlfn._xlws.FILTER(_xlfn.VSTACK(L2:L155,M2:M155,N2:N155,O2:O155),LEFT(_xlfn.VSTACK(L2:L155,M2:M155,N2:N155,O2:O155),1)=LEFT(Risks!$C$4,1),"")</f>
        <v>#N/A</v>
      </c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</row>
    <row r="3" spans="1:45" ht="13.05" customHeight="1" x14ac:dyDescent="0.3">
      <c r="A3" s="13"/>
      <c r="B3" s="17" t="s">
        <v>150</v>
      </c>
      <c r="C3" s="13" t="s">
        <v>151</v>
      </c>
      <c r="D3" s="13"/>
      <c r="E3" s="13" t="s">
        <v>83</v>
      </c>
      <c r="F3" s="13" t="s">
        <v>87</v>
      </c>
      <c r="G3" s="13" t="s">
        <v>152</v>
      </c>
      <c r="H3" s="13" t="s">
        <v>114</v>
      </c>
      <c r="I3" s="13" t="s">
        <v>113</v>
      </c>
      <c r="J3" s="13" t="s">
        <v>153</v>
      </c>
      <c r="K3" s="13" t="s">
        <v>154</v>
      </c>
      <c r="L3" t="str">
        <v>R002</v>
      </c>
      <c r="M3" t="str">
        <v/>
      </c>
      <c r="N3" t="str">
        <v/>
      </c>
      <c r="O3" t="str">
        <v/>
      </c>
      <c r="P3" t="e">
        <v>#N/A</v>
      </c>
      <c r="Q3" t="e">
        <v>#N/A</v>
      </c>
      <c r="R3" t="e">
        <v>#N/A</v>
      </c>
      <c r="S3" t="e">
        <v>#N/A</v>
      </c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1:45" ht="13.05" customHeight="1" x14ac:dyDescent="0.3">
      <c r="A4" s="13"/>
      <c r="B4" s="17" t="s">
        <v>155</v>
      </c>
      <c r="C4" s="13" t="s">
        <v>244</v>
      </c>
      <c r="D4" s="13"/>
      <c r="E4" s="13" t="s">
        <v>82</v>
      </c>
      <c r="F4" s="13" t="s">
        <v>89</v>
      </c>
      <c r="G4" s="13" t="s">
        <v>156</v>
      </c>
      <c r="H4" s="13" t="s">
        <v>157</v>
      </c>
      <c r="I4" s="13" t="s">
        <v>129</v>
      </c>
      <c r="J4" s="13" t="s">
        <v>158</v>
      </c>
      <c r="K4" s="13" t="s">
        <v>159</v>
      </c>
      <c r="L4" t="str">
        <v>R003</v>
      </c>
      <c r="M4" t="str">
        <v/>
      </c>
      <c r="N4" t="str">
        <v/>
      </c>
      <c r="O4" t="str">
        <v/>
      </c>
      <c r="P4" t="e">
        <v>#N/A</v>
      </c>
      <c r="Q4" t="e">
        <v>#N/A</v>
      </c>
      <c r="R4" t="e">
        <v>#N/A</v>
      </c>
      <c r="S4" t="e">
        <v>#N/A</v>
      </c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1:45" ht="13.05" customHeight="1" x14ac:dyDescent="0.3">
      <c r="A5" s="13"/>
      <c r="B5" s="17" t="s">
        <v>160</v>
      </c>
      <c r="C5" s="19">
        <v>46153</v>
      </c>
      <c r="D5" s="13"/>
      <c r="E5" s="13" t="s">
        <v>81</v>
      </c>
      <c r="F5" s="13" t="s">
        <v>91</v>
      </c>
      <c r="G5" s="13" t="s">
        <v>161</v>
      </c>
      <c r="H5" s="13" t="s">
        <v>162</v>
      </c>
      <c r="I5" s="13" t="s">
        <v>116</v>
      </c>
      <c r="J5" s="13" t="s">
        <v>115</v>
      </c>
      <c r="K5" s="13"/>
      <c r="L5" t="str">
        <v>R004</v>
      </c>
      <c r="M5" t="str">
        <v/>
      </c>
      <c r="N5" t="str">
        <v/>
      </c>
      <c r="O5" t="str">
        <v/>
      </c>
      <c r="P5" t="e">
        <v>#N/A</v>
      </c>
      <c r="Q5" t="e">
        <v>#N/A</v>
      </c>
      <c r="R5" t="e">
        <v>#N/A</v>
      </c>
      <c r="S5" t="e">
        <v>#N/A</v>
      </c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1:45" ht="13.05" customHeight="1" x14ac:dyDescent="0.3">
      <c r="A6" s="13"/>
      <c r="B6" s="17" t="s">
        <v>163</v>
      </c>
      <c r="C6" s="19">
        <v>46241</v>
      </c>
      <c r="D6" s="13"/>
      <c r="E6" s="13"/>
      <c r="F6" s="13" t="s">
        <v>93</v>
      </c>
      <c r="G6" s="13" t="s">
        <v>164</v>
      </c>
      <c r="H6" s="13" t="s">
        <v>165</v>
      </c>
      <c r="I6" s="13" t="s">
        <v>115</v>
      </c>
      <c r="J6" s="13"/>
      <c r="K6" s="13"/>
      <c r="L6" t="str">
        <v>R005</v>
      </c>
      <c r="M6" t="str">
        <v/>
      </c>
      <c r="N6" t="str">
        <v/>
      </c>
      <c r="O6" t="str">
        <v/>
      </c>
      <c r="P6" t="e">
        <v>#N/A</v>
      </c>
      <c r="Q6" t="e">
        <v>#N/A</v>
      </c>
      <c r="R6" t="e">
        <v>#N/A</v>
      </c>
      <c r="S6" t="e">
        <v>#N/A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</row>
    <row r="7" spans="1:45" ht="13.05" customHeight="1" x14ac:dyDescent="0.3">
      <c r="A7" s="13"/>
      <c r="B7" s="17" t="s">
        <v>166</v>
      </c>
      <c r="C7" s="13">
        <v>0.15</v>
      </c>
      <c r="D7" s="13"/>
      <c r="E7" s="13"/>
      <c r="F7" s="13"/>
      <c r="G7" s="13"/>
      <c r="H7" s="13"/>
      <c r="I7" s="13" t="s">
        <v>117</v>
      </c>
      <c r="J7" s="13"/>
      <c r="K7" s="13"/>
      <c r="L7" t="e">
        <v>#N/A</v>
      </c>
      <c r="M7" t="str">
        <v/>
      </c>
      <c r="N7" t="str">
        <v/>
      </c>
      <c r="O7" t="str">
        <v/>
      </c>
      <c r="P7" t="e">
        <v>#N/A</v>
      </c>
      <c r="Q7" t="e">
        <v>#N/A</v>
      </c>
      <c r="R7" t="e">
        <v>#N/A</v>
      </c>
      <c r="S7" t="e">
        <v>#N/A</v>
      </c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</row>
    <row r="8" spans="1:45" ht="13.05" customHeight="1" x14ac:dyDescent="0.3">
      <c r="A8" s="13"/>
      <c r="B8" s="13"/>
      <c r="C8" s="13"/>
      <c r="D8" s="13"/>
      <c r="E8" s="13"/>
      <c r="F8" s="13"/>
      <c r="G8" s="13"/>
      <c r="H8" s="13"/>
      <c r="I8" s="13" t="s">
        <v>120</v>
      </c>
      <c r="J8" s="13"/>
      <c r="K8" s="13"/>
      <c r="L8" t="e">
        <v>#N/A</v>
      </c>
      <c r="M8" t="str">
        <v/>
      </c>
      <c r="N8" t="str">
        <v/>
      </c>
      <c r="O8" t="str">
        <v/>
      </c>
      <c r="P8" t="e">
        <v>#N/A</v>
      </c>
      <c r="Q8" t="e">
        <v>#N/A</v>
      </c>
      <c r="R8" t="e">
        <v>#N/A</v>
      </c>
      <c r="S8" t="e">
        <v>#N/A</v>
      </c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</row>
    <row r="9" spans="1:45" ht="13.05" customHeight="1" x14ac:dyDescent="0.3">
      <c r="A9" s="13"/>
      <c r="B9" s="20" t="s">
        <v>167</v>
      </c>
      <c r="C9" s="14"/>
      <c r="D9" s="14"/>
      <c r="E9" s="13"/>
      <c r="F9" s="13"/>
      <c r="G9" s="13"/>
      <c r="H9" s="13"/>
      <c r="I9" s="13"/>
      <c r="J9" s="13"/>
      <c r="K9" s="13"/>
      <c r="L9" t="e">
        <v>#N/A</v>
      </c>
      <c r="M9" t="str">
        <v/>
      </c>
      <c r="N9" t="str">
        <v/>
      </c>
      <c r="O9" t="str">
        <v/>
      </c>
      <c r="P9" t="e">
        <v>#N/A</v>
      </c>
      <c r="Q9" t="e">
        <v>#N/A</v>
      </c>
      <c r="R9" t="e">
        <v>#N/A</v>
      </c>
      <c r="S9" t="e">
        <v>#N/A</v>
      </c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</row>
    <row r="10" spans="1:45" ht="13.05" customHeight="1" x14ac:dyDescent="0.3">
      <c r="A10" s="13"/>
      <c r="B10" s="21" t="s">
        <v>168</v>
      </c>
      <c r="C10" s="21" t="s">
        <v>169</v>
      </c>
      <c r="D10" s="21" t="s">
        <v>170</v>
      </c>
      <c r="E10" s="13"/>
      <c r="F10" s="13"/>
      <c r="G10" s="13"/>
      <c r="H10" s="13"/>
      <c r="I10" s="13"/>
      <c r="J10" s="13"/>
      <c r="K10" s="13"/>
      <c r="L10" t="e">
        <v>#N/A</v>
      </c>
      <c r="M10" t="str">
        <v/>
      </c>
      <c r="N10" t="str">
        <v/>
      </c>
      <c r="P10" t="e">
        <v>#N/A</v>
      </c>
      <c r="Q10" t="e">
        <v>#N/A</v>
      </c>
      <c r="R10" t="e">
        <v>#N/A</v>
      </c>
      <c r="S10" t="e">
        <v>#N/A</v>
      </c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</row>
    <row r="11" spans="1:45" ht="13.05" customHeight="1" x14ac:dyDescent="0.3">
      <c r="A11" s="13"/>
      <c r="B11" s="13" t="s">
        <v>245</v>
      </c>
      <c r="C11" s="13" t="s">
        <v>150</v>
      </c>
      <c r="D11" s="13" t="s">
        <v>172</v>
      </c>
      <c r="E11" s="13"/>
      <c r="F11" s="13"/>
      <c r="G11" s="13"/>
      <c r="H11" s="13"/>
      <c r="I11" s="13"/>
      <c r="J11" s="13"/>
      <c r="K11" s="13"/>
      <c r="L11" t="e">
        <v>#N/A</v>
      </c>
      <c r="M11" t="str">
        <v/>
      </c>
      <c r="N11" t="str">
        <v/>
      </c>
      <c r="P11" t="e">
        <v>#N/A</v>
      </c>
      <c r="Q11" t="e">
        <v>#N/A</v>
      </c>
      <c r="R11" t="e">
        <v>#N/A</v>
      </c>
      <c r="S11" t="e">
        <v>#N/A</v>
      </c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</row>
    <row r="12" spans="1:45" ht="13.05" customHeight="1" x14ac:dyDescent="0.3">
      <c r="A12" s="13"/>
      <c r="B12" s="13" t="s">
        <v>247</v>
      </c>
      <c r="C12" s="13" t="s">
        <v>246</v>
      </c>
      <c r="D12" s="13" t="s">
        <v>172</v>
      </c>
      <c r="E12" s="13"/>
      <c r="F12" s="13"/>
      <c r="G12" s="13"/>
      <c r="H12" s="13"/>
      <c r="I12" s="13"/>
      <c r="J12" s="13"/>
      <c r="K12" s="13"/>
      <c r="L12" t="e">
        <v>#N/A</v>
      </c>
      <c r="M12" t="str">
        <f t="array" ref="M12">IFERROR(_xlfn._xlws.FILTER(Actions!B16:B165,Actions!B16:B165&lt;&gt;""),"")</f>
        <v/>
      </c>
      <c r="Q12" t="e">
        <v>#N/A</v>
      </c>
      <c r="R12" t="e">
        <v>#N/A</v>
      </c>
      <c r="S12" t="e">
        <v>#N/A</v>
      </c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</row>
    <row r="13" spans="1:45" ht="13.05" customHeight="1" x14ac:dyDescent="0.3">
      <c r="A13" s="13"/>
      <c r="B13" s="13" t="s">
        <v>248</v>
      </c>
      <c r="C13" s="13" t="s">
        <v>249</v>
      </c>
      <c r="D13" s="13" t="s">
        <v>172</v>
      </c>
      <c r="E13" s="13"/>
      <c r="F13" s="13"/>
      <c r="G13" s="13"/>
      <c r="H13" s="13"/>
      <c r="I13" s="13"/>
      <c r="J13" s="13"/>
      <c r="K13" s="13"/>
      <c r="L13" t="e">
        <v>#N/A</v>
      </c>
      <c r="M13" t="str">
        <f t="array" ref="M13">IFERROR(_xlfn._xlws.FILTER(Actions!B17:B166,Actions!B17:B166&lt;&gt;""),"")</f>
        <v/>
      </c>
      <c r="Q13" t="e">
        <v>#N/A</v>
      </c>
      <c r="R13" t="e">
        <v>#N/A</v>
      </c>
      <c r="S13" t="e">
        <v>#N/A</v>
      </c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</row>
    <row r="14" spans="1:45" ht="13.05" customHeight="1" x14ac:dyDescent="0.3">
      <c r="A14" s="13"/>
      <c r="B14" s="13" t="s">
        <v>253</v>
      </c>
      <c r="C14" s="13" t="s">
        <v>250</v>
      </c>
      <c r="D14" s="13" t="s">
        <v>172</v>
      </c>
      <c r="E14" s="13"/>
      <c r="F14" s="13"/>
      <c r="G14" s="13"/>
      <c r="H14" s="13"/>
      <c r="I14" s="13"/>
      <c r="J14" s="13"/>
      <c r="K14" s="13"/>
      <c r="L14" t="e">
        <v>#N/A</v>
      </c>
      <c r="M14" t="str">
        <f t="array" ref="M14">IFERROR(_xlfn._xlws.FILTER(Actions!B18:B167,Actions!B18:B167&lt;&gt;""),"")</f>
        <v/>
      </c>
      <c r="Q14" t="e">
        <v>#N/A</v>
      </c>
      <c r="R14" t="e">
        <v>#N/A</v>
      </c>
      <c r="S14" t="e">
        <v>#N/A</v>
      </c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</row>
    <row r="15" spans="1:45" ht="13.05" customHeight="1" x14ac:dyDescent="0.3">
      <c r="A15" s="13"/>
      <c r="B15" s="13" t="s">
        <v>254</v>
      </c>
      <c r="C15" s="13" t="s">
        <v>251</v>
      </c>
      <c r="D15" s="13" t="s">
        <v>172</v>
      </c>
      <c r="E15" s="13"/>
      <c r="F15" s="13"/>
      <c r="G15" s="13"/>
      <c r="H15" s="13"/>
      <c r="I15" s="13"/>
      <c r="J15" s="13"/>
      <c r="K15" s="13"/>
      <c r="L15" t="e">
        <v>#N/A</v>
      </c>
      <c r="M15" t="str">
        <f t="array" ref="M15">IFERROR(_xlfn._xlws.FILTER(Actions!B19:B168,Actions!B19:B168&lt;&gt;""),"")</f>
        <v/>
      </c>
      <c r="Q15" t="e">
        <v>#N/A</v>
      </c>
      <c r="R15" t="e">
        <v>#N/A</v>
      </c>
      <c r="S15" t="e">
        <v>#N/A</v>
      </c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</row>
    <row r="16" spans="1:45" ht="13.05" customHeight="1" x14ac:dyDescent="0.3">
      <c r="A16" s="13"/>
      <c r="B16" s="13" t="s">
        <v>255</v>
      </c>
      <c r="C16" s="13" t="s">
        <v>252</v>
      </c>
      <c r="D16" s="13" t="s">
        <v>172</v>
      </c>
      <c r="E16" s="13"/>
      <c r="F16" s="13"/>
      <c r="G16" s="13"/>
      <c r="H16" s="13"/>
      <c r="I16" s="13"/>
      <c r="J16" s="13"/>
      <c r="K16" s="13"/>
      <c r="L16" t="e">
        <v>#N/A</v>
      </c>
      <c r="M16" t="str">
        <f t="array" ref="M16">IFERROR(_xlfn._xlws.FILTER(Actions!B20:B169,Actions!B20:B169&lt;&gt;""),"")</f>
        <v/>
      </c>
      <c r="Q16" t="e">
        <v>#N/A</v>
      </c>
      <c r="R16" t="e">
        <v>#N/A</v>
      </c>
      <c r="S16" t="e">
        <v>#N/A</v>
      </c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</row>
    <row r="17" spans="1:45" ht="13.05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t="e">
        <v>#N/A</v>
      </c>
      <c r="M17" t="str">
        <f t="array" ref="M17">IFERROR(_xlfn._xlws.FILTER(Actions!B21:B170,Actions!B21:B170&lt;&gt;""),"")</f>
        <v/>
      </c>
      <c r="Q17" t="e">
        <v>#N/A</v>
      </c>
      <c r="R17" t="e">
        <v>#N/A</v>
      </c>
      <c r="S17" t="e">
        <v>#N/A</v>
      </c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</row>
    <row r="18" spans="1:45" ht="13.05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S18" t="e">
        <v>#N/A</v>
      </c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</row>
    <row r="19" spans="1:45" ht="13.05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S19" t="e">
        <v>#N/A</v>
      </c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</row>
    <row r="20" spans="1:45" ht="13.05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S20" t="e">
        <v>#N/A</v>
      </c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</row>
    <row r="21" spans="1:45" ht="13.05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S21" t="e">
        <v>#N/A</v>
      </c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</row>
    <row r="22" spans="1:45" ht="13.05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S22" t="e">
        <v>#N/A</v>
      </c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</row>
    <row r="23" spans="1:45" ht="13.05" customHeight="1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S23" t="e">
        <v>#N/A</v>
      </c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</row>
    <row r="24" spans="1:45" ht="13.05" customHeight="1" x14ac:dyDescent="0.3">
      <c r="A24" s="13"/>
      <c r="B24" s="20" t="s">
        <v>171</v>
      </c>
      <c r="C24" s="14" t="s">
        <v>173</v>
      </c>
      <c r="D24" s="14" t="s">
        <v>172</v>
      </c>
      <c r="E24" s="13"/>
      <c r="F24" s="13"/>
      <c r="G24" s="13"/>
      <c r="H24" s="13"/>
      <c r="I24" s="13"/>
      <c r="J24" s="13"/>
      <c r="K24" s="13"/>
      <c r="S24" t="e">
        <v>#N/A</v>
      </c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</row>
    <row r="25" spans="1:45" ht="13.05" customHeight="1" x14ac:dyDescent="0.3">
      <c r="A25" s="13"/>
      <c r="B25" s="13" t="s">
        <v>84</v>
      </c>
      <c r="C25" s="13">
        <v>0</v>
      </c>
      <c r="D25" s="13">
        <v>4.9000000000000004</v>
      </c>
      <c r="E25" s="13"/>
      <c r="F25" s="13"/>
      <c r="G25" s="13"/>
      <c r="H25" s="13"/>
      <c r="I25" s="13"/>
      <c r="J25" s="13"/>
      <c r="K25" s="13"/>
      <c r="S25" t="e">
        <v>#N/A</v>
      </c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</row>
    <row r="26" spans="1:45" ht="13.05" customHeight="1" x14ac:dyDescent="0.3">
      <c r="A26" s="13"/>
      <c r="B26" s="13" t="s">
        <v>83</v>
      </c>
      <c r="C26" s="13">
        <v>5</v>
      </c>
      <c r="D26" s="13">
        <v>9.9</v>
      </c>
      <c r="E26" s="13"/>
      <c r="F26" s="13"/>
      <c r="G26" s="13"/>
      <c r="H26" s="13"/>
      <c r="I26" s="13"/>
      <c r="J26" s="13"/>
      <c r="K26" s="13"/>
      <c r="S26" t="e">
        <v>#N/A</v>
      </c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</row>
    <row r="27" spans="1:45" ht="13.05" customHeight="1" x14ac:dyDescent="0.3">
      <c r="A27" s="13"/>
      <c r="B27" s="13" t="s">
        <v>82</v>
      </c>
      <c r="C27" s="13">
        <v>10</v>
      </c>
      <c r="D27" s="13">
        <v>15.9</v>
      </c>
      <c r="E27" s="13"/>
      <c r="F27" s="13"/>
      <c r="G27" s="13"/>
      <c r="H27" s="13"/>
      <c r="I27" s="13"/>
      <c r="J27" s="13"/>
      <c r="K27" s="13"/>
      <c r="S27" t="e">
        <v>#N/A</v>
      </c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</row>
    <row r="28" spans="1:45" ht="13.05" customHeight="1" x14ac:dyDescent="0.3">
      <c r="A28" s="13"/>
      <c r="B28" s="13" t="s">
        <v>81</v>
      </c>
      <c r="C28" s="13">
        <v>16</v>
      </c>
      <c r="D28" s="13">
        <v>25</v>
      </c>
      <c r="E28" s="13"/>
      <c r="F28" s="13"/>
      <c r="G28" s="13"/>
      <c r="H28" s="13"/>
      <c r="I28" s="13"/>
      <c r="J28" s="13"/>
      <c r="K28" s="13"/>
      <c r="S28" t="e">
        <v>#N/A</v>
      </c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</row>
    <row r="29" spans="1:45" ht="13.05" customHeight="1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S29" t="e">
        <v>#N/A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</row>
    <row r="30" spans="1:45" ht="13.05" customHeight="1" x14ac:dyDescent="0.3">
      <c r="A30" s="104" t="s">
        <v>174</v>
      </c>
      <c r="B30" s="14"/>
      <c r="C30" s="14"/>
      <c r="D30" s="14"/>
      <c r="E30" s="14"/>
      <c r="F30" s="14"/>
      <c r="G30" s="14"/>
      <c r="H30" s="13"/>
      <c r="I30" s="13"/>
      <c r="J30" s="13"/>
      <c r="K30" s="13"/>
      <c r="S30" t="e">
        <v>#N/A</v>
      </c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</row>
    <row r="31" spans="1:45" ht="13.05" customHeight="1" x14ac:dyDescent="0.3">
      <c r="A31" s="109" t="s">
        <v>70</v>
      </c>
      <c r="B31" s="109" t="s">
        <v>71</v>
      </c>
      <c r="C31" s="109" t="s">
        <v>72</v>
      </c>
      <c r="D31" s="109" t="s">
        <v>73</v>
      </c>
      <c r="E31" s="109" t="s">
        <v>74</v>
      </c>
      <c r="F31" s="109" t="s">
        <v>75</v>
      </c>
      <c r="G31" s="109" t="s">
        <v>110</v>
      </c>
      <c r="H31" s="13"/>
      <c r="I31" s="13"/>
      <c r="J31" s="13"/>
      <c r="K31" s="13"/>
      <c r="S31" t="e">
        <v>#N/A</v>
      </c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</row>
    <row r="32" spans="1:45" ht="13.05" customHeight="1" x14ac:dyDescent="0.3">
      <c r="A32" s="13" t="str">
        <f t="array" aca="1" ref="A32" ca="1">IFERROR(INDEX($A$41:$A$340,ROW()-31),"")</f>
        <v>⚠️ Risk</v>
      </c>
      <c r="B32" s="13" t="str">
        <f t="array" aca="1" ref="B32" ca="1">IFERROR(INDEX($B$41:$B$340,ROW()-31),"")</f>
        <v>R001</v>
      </c>
      <c r="C32" s="13" t="str">
        <f t="array" aca="1" ref="C32" ca="1">IFERROR(INDEX($C$41:$C$340,ROW()-31),"")</f>
        <v>Prazo sem buffer</v>
      </c>
      <c r="D32" s="13" t="str">
        <f t="array" aca="1" ref="D32" ca="1">IFERROR(INDEX($D$41:$D$340,ROW()-31),"")</f>
        <v>Critical</v>
      </c>
      <c r="E32" s="13" t="str">
        <f t="array" aca="1" ref="E32" ca="1">IFERROR(INDEX($E$41:$E$340,ROW()-31),"")</f>
        <v>GP Stratesys + Sponsor EDF</v>
      </c>
      <c r="F32" s="13">
        <f t="array" aca="1" ref="F32" ca="1">IFERROR(INDEX($F$41:$F$340,ROW()-31),"")</f>
        <v>16</v>
      </c>
      <c r="G32" s="13" t="str">
        <f t="array" aca="1" ref="G32" ca="1">IFERROR(INDEX($G$41:$G$340,ROW()-31),"")</f>
        <v>In Progress</v>
      </c>
      <c r="H32" s="13"/>
      <c r="I32" s="13"/>
      <c r="J32" s="13"/>
      <c r="K32" s="13"/>
      <c r="S32" t="e">
        <v>#N/A</v>
      </c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</row>
    <row r="33" spans="1:45" ht="13.05" customHeight="1" x14ac:dyDescent="0.3">
      <c r="A33" s="13" t="str">
        <f t="array" aca="1" ref="A33" ca="1">IFERROR(INDEX($A$41:$A$340,ROW()-31),"")</f>
        <v>⚠️ Risk</v>
      </c>
      <c r="B33" s="13" t="str">
        <f t="array" aca="1" ref="B33" ca="1">IFERROR(INDEX($B$41:$B$340,ROW()-31),"")</f>
        <v>R002</v>
      </c>
      <c r="C33" s="13" t="str">
        <f t="array" aca="1" ref="C33" ca="1">IFERROR(INDEX($C$41:$C$340,ROW()-31),"")</f>
        <v>UAT do S/4HANA não concluído antes do início Ariba</v>
      </c>
      <c r="D33" s="13" t="str">
        <f t="array" aca="1" ref="D33" ca="1">IFERROR(INDEX($D$41:$D$340,ROW()-31),"")</f>
        <v>High</v>
      </c>
      <c r="E33" s="13" t="str">
        <f t="array" aca="1" ref="E33" ca="1">IFERROR(INDEX($E$41:$E$340,ROW()-31),"")</f>
        <v>Sponsor EDF + GP S/4 + GP Ariba</v>
      </c>
      <c r="F33" s="13">
        <f t="array" aca="1" ref="F33" ca="1">IFERROR(INDEX($F$41:$F$340,ROW()-31),"")</f>
        <v>16</v>
      </c>
      <c r="G33" s="13" t="str">
        <f t="array" aca="1" ref="G33" ca="1">IFERROR(INDEX($G$41:$G$340,ROW()-31),"")</f>
        <v>In Progress</v>
      </c>
      <c r="H33" s="13"/>
      <c r="I33" s="13"/>
      <c r="J33" s="13"/>
      <c r="K33" s="13"/>
      <c r="S33" t="e">
        <v>#N/A</v>
      </c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</row>
    <row r="34" spans="1:45" ht="13.05" customHeight="1" x14ac:dyDescent="0.3">
      <c r="A34" s="13" t="str">
        <f t="array" aca="1" ref="A34" ca="1">IFERROR(INDEX($A$41:$A$340,ROW()-31),"")</f>
        <v>⚠️ Risk</v>
      </c>
      <c r="B34" s="13" t="str">
        <f t="array" aca="1" ref="B34" ca="1">IFERROR(INDEX($B$41:$B$340,ROW()-31),"")</f>
        <v>R005</v>
      </c>
      <c r="C34" s="13" t="str">
        <f t="array" aca="1" ref="C34" ca="1">IFERROR(INDEX($C$41:$C$340,ROW()-31),"")</f>
        <v>Tempo de resposta acima de 2 dias úteis</v>
      </c>
      <c r="D34" s="13" t="str">
        <f t="array" aca="1" ref="D34" ca="1">IFERROR(INDEX($D$41:$D$340,ROW()-31),"")</f>
        <v>Low</v>
      </c>
      <c r="E34" s="13" t="str">
        <f t="array" aca="1" ref="E34" ca="1">IFERROR(INDEX($E$41:$E$340,ROW()-31),"")</f>
        <v>GP Stratesys + Sponsors</v>
      </c>
      <c r="F34" s="13">
        <f t="array" aca="1" ref="F34" ca="1">IFERROR(INDEX($F$41:$F$340,ROW()-31),"")</f>
        <v>16</v>
      </c>
      <c r="G34" s="13" t="str">
        <f t="array" aca="1" ref="G34" ca="1">IFERROR(INDEX($G$41:$G$340,ROW()-31),"")</f>
        <v>In Progress</v>
      </c>
      <c r="H34" s="13"/>
      <c r="I34" s="13"/>
      <c r="J34" s="13"/>
      <c r="K34" s="13"/>
      <c r="S34" t="e">
        <v>#N/A</v>
      </c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</row>
    <row r="35" spans="1:45" ht="13.05" customHeight="1" x14ac:dyDescent="0.3">
      <c r="A35" s="13" t="str">
        <f t="array" aca="1" ref="A35" ca="1">IFERROR(INDEX($A$41:$A$340,ROW()-31),"")</f>
        <v/>
      </c>
      <c r="B35" s="13" t="str">
        <f t="array" aca="1" ref="B35" ca="1">IFERROR(INDEX($B$41:$B$340,ROW()-31),"")</f>
        <v/>
      </c>
      <c r="C35" s="13" t="str">
        <f t="array" aca="1" ref="C35" ca="1">IFERROR(INDEX($C$41:$C$340,ROW()-31),"")</f>
        <v/>
      </c>
      <c r="D35" s="13" t="str">
        <f t="array" aca="1" ref="D35" ca="1">IFERROR(INDEX($D$41:$D$340,ROW()-31),"")</f>
        <v/>
      </c>
      <c r="E35" s="13" t="str">
        <f t="array" aca="1" ref="E35" ca="1">IFERROR(INDEX($E$41:$E$340,ROW()-31),"")</f>
        <v/>
      </c>
      <c r="F35" s="13" t="str">
        <f t="array" aca="1" ref="F35" ca="1">IFERROR(INDEX($F$41:$F$340,ROW()-31),"")</f>
        <v/>
      </c>
      <c r="G35" s="13" t="str">
        <f t="array" aca="1" ref="G35" ca="1">IFERROR(INDEX($G$41:$G$340,ROW()-31),"")</f>
        <v/>
      </c>
      <c r="H35" s="13"/>
      <c r="I35" s="13"/>
      <c r="J35" s="13"/>
      <c r="K35" s="13"/>
      <c r="S35" t="e">
        <v>#N/A</v>
      </c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</row>
    <row r="36" spans="1:45" ht="13.05" customHeight="1" x14ac:dyDescent="0.3">
      <c r="A36" s="13" t="str">
        <f t="array" aca="1" ref="A36" ca="1">IFERROR(INDEX($A$41:$A$340,ROW()-31),"")</f>
        <v/>
      </c>
      <c r="B36" s="13" t="str">
        <f t="array" aca="1" ref="B36" ca="1">IFERROR(INDEX($B$41:$B$340,ROW()-31),"")</f>
        <v/>
      </c>
      <c r="C36" s="13" t="str">
        <f t="array" aca="1" ref="C36" ca="1">IFERROR(INDEX($C$41:$C$340,ROW()-31),"")</f>
        <v/>
      </c>
      <c r="D36" s="13" t="str">
        <f t="array" aca="1" ref="D36" ca="1">IFERROR(INDEX($D$41:$D$340,ROW()-31),"")</f>
        <v/>
      </c>
      <c r="E36" s="13" t="str">
        <f t="array" aca="1" ref="E36" ca="1">IFERROR(INDEX($E$41:$E$340,ROW()-31),"")</f>
        <v/>
      </c>
      <c r="F36" s="13" t="str">
        <f t="array" aca="1" ref="F36" ca="1">IFERROR(INDEX($F$41:$F$340,ROW()-31),"")</f>
        <v/>
      </c>
      <c r="G36" s="13" t="str">
        <f t="array" aca="1" ref="G36" ca="1">IFERROR(INDEX($G$41:$G$340,ROW()-31),"")</f>
        <v/>
      </c>
      <c r="H36" s="13"/>
      <c r="I36" s="13"/>
      <c r="J36" s="13"/>
      <c r="K36" s="13"/>
      <c r="S36" t="e">
        <v>#N/A</v>
      </c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</row>
    <row r="37" spans="1:45" ht="13.05" customHeight="1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S37" t="e">
        <v>#N/A</v>
      </c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</row>
    <row r="38" spans="1:45" ht="13.05" customHeight="1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S38" t="e">
        <v>#N/A</v>
      </c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</row>
    <row r="39" spans="1:45" ht="13.05" customHeight="1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S39" t="e">
        <v>#N/A</v>
      </c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</row>
    <row r="40" spans="1:45" ht="13.05" customHeight="1" x14ac:dyDescent="0.3">
      <c r="A40" s="105" t="s">
        <v>175</v>
      </c>
      <c r="B40" s="13"/>
      <c r="C40" s="13"/>
      <c r="D40" s="13"/>
      <c r="E40" s="13"/>
      <c r="F40" s="13"/>
      <c r="G40" s="13"/>
      <c r="H40" s="13"/>
      <c r="I40" s="13"/>
      <c r="J40" s="13"/>
      <c r="K40" s="13"/>
      <c r="S40" t="e">
        <v>#N/A</v>
      </c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</row>
    <row r="41" spans="1:45" ht="13.05" customHeight="1" x14ac:dyDescent="0.3">
      <c r="A41" s="13" t="str">
        <f t="array" aca="1" ref="A41:G64" ca="1">_xlfn.LET(
  _xlpm.r_id, Risks!B6:B151,
  _xlpm.r_desc, Risks!D6:D151,
  _xlpm.r_pri, Risks!K6:K151,
  _xlpm.r_own, Risks!O6:O151,
  _xlpm.r_days, Risks!S6:S151,
  _xlpm.r_stat, Risks!R6:R151,
  _xlpm.r_type, IF(_xlpm.r_id&lt;&gt;"","⚠️ Risk",""),
  _xlpm.i_id, Issues!B6:B155,
  _xlpm.i_desc, Issues!H6:H155,
  _xlpm.i_pri, Issues!I6:I155,
  _xlpm.i_own, Issues!M6:M155,
  _xlpm.i_days, Issues!R6:R155,
  _xlpm.i_stat, Issues!O6:O155,
  _xlpm.i_type, IF(_xlpm.i_id&lt;&gt;"","🔥 Issue",""),
  _xlpm.all_type, _xlfn.VSTACK(_xlpm.r_type, _xlpm.i_type),
  _xlpm.all_id, _xlfn.VSTACK(_xlpm.r_id, _xlpm.i_id),
  _xlpm.all_desc, _xlfn.VSTACK(_xlpm.r_desc, _xlpm.i_desc),
  _xlpm.all_pri, _xlfn.VSTACK(_xlpm.r_pri, _xlpm.i_pri),
  _xlpm.all_own, _xlfn.VSTACK(_xlpm.r_own, _xlpm.i_own),
  _xlpm.all_days, _xlfn.VSTACK(_xlpm.r_days, _xlpm.i_days),
  _xlpm.all_stat, _xlfn.VSTACK(_xlpm.r_stat, _xlpm.i_stat),
  _xlpm.pri_val, _xlfn.SWITCH(_xlpm.all_pri,"Critical",4,"High",3,"Medium",2,"Low",1,0),
  _xlpm.mask, (_xlpm.all_id&lt;&gt;"")*(_xlpm.all_stat&lt;&gt;"Resolved")*(_xlpm.all_stat&lt;&gt;"Cancelled"),
  _xlpm.filtered, _xlfn._xlws.FILTER(_xlfn.HSTACK(_xlpm.all_type,_xlpm.all_id,_xlpm.all_desc,_xlpm.all_pri,_xlpm.all_own,_xlpm.all_days,_xlpm.all_stat), _xlpm.mask, ""),
  _xlpm.f_pri, _xlfn._xlws.FILTER(_xlpm.pri_val, _xlpm.mask, 0),
  _xlpm.f_days, _xlfn._xlws.FILTER(_xlpm.all_days, _xlpm.mask, 0),
  _xlpm.sorted, _xlfn.SORTBY(_xlpm.filtered, _xlpm.f_pri, -1, _xlpm.f_days, -1),
  _xlpm.sorted
)</f>
        <v>⚠️ Risk</v>
      </c>
      <c r="B41" s="13" t="str">
        <f ca="1"/>
        <v>R001</v>
      </c>
      <c r="C41" s="13" t="str">
        <f ca="1"/>
        <v>Prazo sem buffer</v>
      </c>
      <c r="D41" s="13" t="str">
        <f ca="1"/>
        <v>Critical</v>
      </c>
      <c r="E41" s="13" t="str">
        <f ca="1"/>
        <v>GP Stratesys + Sponsor EDF</v>
      </c>
      <c r="F41" s="13">
        <f ca="1"/>
        <v>16</v>
      </c>
      <c r="G41" s="13" t="str">
        <f ca="1"/>
        <v>In Progress</v>
      </c>
      <c r="H41" s="13"/>
      <c r="I41" s="13"/>
      <c r="J41" s="13"/>
      <c r="K41" s="13"/>
      <c r="S41" t="e">
        <v>#N/A</v>
      </c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</row>
    <row r="42" spans="1:45" ht="13.05" customHeight="1" x14ac:dyDescent="0.3">
      <c r="A42" s="13" t="str">
        <f ca="1"/>
        <v>⚠️ Risk</v>
      </c>
      <c r="B42" s="13" t="str">
        <f ca="1"/>
        <v>R002</v>
      </c>
      <c r="C42" s="13" t="str">
        <f ca="1"/>
        <v>UAT do S/4HANA não concluído antes do início Ariba</v>
      </c>
      <c r="D42" s="13" t="str">
        <f ca="1"/>
        <v>High</v>
      </c>
      <c r="E42" s="13" t="str">
        <f ca="1"/>
        <v>Sponsor EDF + GP S/4 + GP Ariba</v>
      </c>
      <c r="F42" s="13">
        <f ca="1"/>
        <v>16</v>
      </c>
      <c r="G42" s="13" t="str">
        <f ca="1"/>
        <v>In Progress</v>
      </c>
      <c r="H42" s="13"/>
      <c r="I42" s="13"/>
      <c r="J42" s="13"/>
      <c r="K42" s="13"/>
      <c r="S42" t="e">
        <v>#N/A</v>
      </c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</row>
    <row r="43" spans="1:45" ht="13.05" customHeight="1" x14ac:dyDescent="0.3">
      <c r="A43" s="13" t="str">
        <f ca="1"/>
        <v>⚠️ Risk</v>
      </c>
      <c r="B43" s="13" t="str">
        <f ca="1"/>
        <v>R005</v>
      </c>
      <c r="C43" s="13" t="str">
        <f ca="1"/>
        <v>Tempo de resposta acima de 2 dias úteis</v>
      </c>
      <c r="D43" s="13" t="str">
        <f ca="1"/>
        <v>Low</v>
      </c>
      <c r="E43" s="13" t="str">
        <f ca="1"/>
        <v>GP Stratesys + Sponsors</v>
      </c>
      <c r="F43" s="13">
        <f ca="1"/>
        <v>16</v>
      </c>
      <c r="G43" s="13" t="str">
        <f ca="1"/>
        <v>In Progress</v>
      </c>
      <c r="H43" s="13"/>
      <c r="I43" s="13"/>
      <c r="J43" s="13"/>
      <c r="K43" s="13"/>
      <c r="S43" t="e">
        <v>#N/A</v>
      </c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</row>
    <row r="44" spans="1:45" ht="13.05" customHeight="1" x14ac:dyDescent="0.3">
      <c r="A44" s="13" t="e">
        <f ca="1"/>
        <v>#N/A</v>
      </c>
      <c r="B44" s="13" t="e">
        <f ca="1"/>
        <v>#N/A</v>
      </c>
      <c r="C44" s="13" t="e">
        <f ca="1"/>
        <v>#N/A</v>
      </c>
      <c r="D44" s="13" t="e">
        <f ca="1"/>
        <v>#N/A</v>
      </c>
      <c r="E44" s="13" t="e">
        <f ca="1"/>
        <v>#N/A</v>
      </c>
      <c r="F44" s="13" t="e">
        <f ca="1"/>
        <v>#N/A</v>
      </c>
      <c r="G44" s="13" t="e">
        <f ca="1"/>
        <v>#N/A</v>
      </c>
      <c r="H44" s="13"/>
      <c r="I44" s="13"/>
      <c r="J44" s="13"/>
      <c r="K44" s="13"/>
      <c r="S44" t="e">
        <v>#N/A</v>
      </c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</row>
    <row r="45" spans="1:45" ht="13.05" customHeight="1" x14ac:dyDescent="0.3">
      <c r="A45" s="13" t="e">
        <f ca="1"/>
        <v>#N/A</v>
      </c>
      <c r="B45" s="13" t="e">
        <f ca="1"/>
        <v>#N/A</v>
      </c>
      <c r="C45" s="13" t="e">
        <f ca="1"/>
        <v>#N/A</v>
      </c>
      <c r="D45" s="13" t="e">
        <f ca="1"/>
        <v>#N/A</v>
      </c>
      <c r="E45" s="13" t="e">
        <f ca="1"/>
        <v>#N/A</v>
      </c>
      <c r="F45" s="13" t="e">
        <f ca="1"/>
        <v>#N/A</v>
      </c>
      <c r="G45" s="13" t="e">
        <f ca="1"/>
        <v>#N/A</v>
      </c>
      <c r="H45" s="13"/>
      <c r="I45" s="13"/>
      <c r="J45" s="13"/>
      <c r="K45" s="13"/>
      <c r="S45" t="e">
        <v>#N/A</v>
      </c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</row>
    <row r="46" spans="1:45" ht="13.05" customHeight="1" x14ac:dyDescent="0.3">
      <c r="A46" s="13" t="e">
        <f ca="1"/>
        <v>#N/A</v>
      </c>
      <c r="B46" s="13" t="e">
        <f ca="1"/>
        <v>#N/A</v>
      </c>
      <c r="C46" s="13" t="e">
        <f ca="1"/>
        <v>#N/A</v>
      </c>
      <c r="D46" s="13" t="e">
        <f ca="1"/>
        <v>#N/A</v>
      </c>
      <c r="E46" s="13" t="e">
        <f ca="1"/>
        <v>#N/A</v>
      </c>
      <c r="F46" s="13" t="e">
        <f ca="1"/>
        <v>#N/A</v>
      </c>
      <c r="G46" s="13" t="e">
        <f ca="1"/>
        <v>#N/A</v>
      </c>
      <c r="H46" s="13"/>
      <c r="I46" s="13"/>
      <c r="J46" s="13"/>
      <c r="K46" s="13"/>
      <c r="S46" t="e">
        <v>#N/A</v>
      </c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</row>
    <row r="47" spans="1:45" ht="13.05" customHeight="1" x14ac:dyDescent="0.3">
      <c r="A47" s="13" t="e">
        <f ca="1"/>
        <v>#N/A</v>
      </c>
      <c r="B47" s="13" t="e">
        <f ca="1"/>
        <v>#N/A</v>
      </c>
      <c r="C47" s="13" t="e">
        <f ca="1"/>
        <v>#N/A</v>
      </c>
      <c r="D47" s="13" t="e">
        <f ca="1"/>
        <v>#N/A</v>
      </c>
      <c r="E47" s="13" t="e">
        <f ca="1"/>
        <v>#N/A</v>
      </c>
      <c r="F47" s="13" t="e">
        <f ca="1"/>
        <v>#N/A</v>
      </c>
      <c r="G47" s="13" t="e">
        <f ca="1"/>
        <v>#N/A</v>
      </c>
      <c r="H47" s="13"/>
      <c r="I47" s="13"/>
      <c r="J47" s="13"/>
      <c r="K47" s="13"/>
      <c r="S47" t="e">
        <v>#N/A</v>
      </c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</row>
    <row r="48" spans="1:45" ht="13.05" customHeight="1" x14ac:dyDescent="0.3">
      <c r="A48" s="13" t="e">
        <f ca="1"/>
        <v>#N/A</v>
      </c>
      <c r="B48" s="13" t="e">
        <f ca="1"/>
        <v>#N/A</v>
      </c>
      <c r="C48" s="13" t="e">
        <f ca="1"/>
        <v>#N/A</v>
      </c>
      <c r="D48" s="13" t="e">
        <f ca="1"/>
        <v>#N/A</v>
      </c>
      <c r="E48" s="13" t="e">
        <f ca="1"/>
        <v>#N/A</v>
      </c>
      <c r="F48" s="13" t="e">
        <f ca="1"/>
        <v>#N/A</v>
      </c>
      <c r="G48" s="13" t="e">
        <f ca="1"/>
        <v>#N/A</v>
      </c>
      <c r="H48" s="13"/>
      <c r="I48" s="13"/>
      <c r="J48" s="13"/>
      <c r="K48" s="13"/>
      <c r="S48" t="e">
        <v>#N/A</v>
      </c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</row>
    <row r="49" spans="1:45" ht="13.05" customHeight="1" x14ac:dyDescent="0.3">
      <c r="A49" s="13" t="e">
        <f ca="1"/>
        <v>#N/A</v>
      </c>
      <c r="B49" s="13" t="e">
        <f ca="1"/>
        <v>#N/A</v>
      </c>
      <c r="C49" s="13" t="e">
        <f ca="1"/>
        <v>#N/A</v>
      </c>
      <c r="D49" s="13" t="e">
        <f ca="1"/>
        <v>#N/A</v>
      </c>
      <c r="E49" s="13" t="e">
        <f ca="1"/>
        <v>#N/A</v>
      </c>
      <c r="F49" s="13" t="e">
        <f ca="1"/>
        <v>#N/A</v>
      </c>
      <c r="G49" s="13" t="e">
        <f ca="1"/>
        <v>#N/A</v>
      </c>
      <c r="H49" s="13"/>
      <c r="I49" s="13"/>
      <c r="J49" s="13"/>
      <c r="K49" s="13"/>
      <c r="S49" t="e">
        <v>#N/A</v>
      </c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</row>
    <row r="50" spans="1:45" ht="13.05" customHeight="1" x14ac:dyDescent="0.3">
      <c r="A50" s="13" t="e">
        <f ca="1"/>
        <v>#N/A</v>
      </c>
      <c r="B50" s="13" t="e">
        <f ca="1"/>
        <v>#N/A</v>
      </c>
      <c r="C50" s="13" t="e">
        <f ca="1"/>
        <v>#N/A</v>
      </c>
      <c r="D50" s="13" t="e">
        <f ca="1"/>
        <v>#N/A</v>
      </c>
      <c r="E50" s="13" t="e">
        <f ca="1"/>
        <v>#N/A</v>
      </c>
      <c r="F50" s="13" t="e">
        <f ca="1"/>
        <v>#N/A</v>
      </c>
      <c r="G50" s="13" t="e">
        <f ca="1"/>
        <v>#N/A</v>
      </c>
      <c r="H50" s="13"/>
      <c r="I50" s="13"/>
      <c r="J50" s="13"/>
      <c r="K50" s="13"/>
      <c r="S50" t="e">
        <v>#N/A</v>
      </c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</row>
    <row r="51" spans="1:45" ht="13.05" customHeight="1" x14ac:dyDescent="0.3">
      <c r="A51" s="13" t="e">
        <f ca="1"/>
        <v>#N/A</v>
      </c>
      <c r="B51" s="13" t="e">
        <f ca="1"/>
        <v>#N/A</v>
      </c>
      <c r="C51" s="13" t="e">
        <f ca="1"/>
        <v>#N/A</v>
      </c>
      <c r="D51" s="13" t="e">
        <f ca="1"/>
        <v>#N/A</v>
      </c>
      <c r="E51" s="13" t="e">
        <f ca="1"/>
        <v>#N/A</v>
      </c>
      <c r="F51" s="13" t="e">
        <f ca="1"/>
        <v>#N/A</v>
      </c>
      <c r="G51" s="13" t="e">
        <f ca="1"/>
        <v>#N/A</v>
      </c>
      <c r="H51" s="13"/>
      <c r="I51" s="13"/>
      <c r="J51" s="13"/>
      <c r="K51" s="13"/>
      <c r="S51" t="e">
        <v>#N/A</v>
      </c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</row>
    <row r="52" spans="1:45" ht="13.05" customHeight="1" x14ac:dyDescent="0.3">
      <c r="A52" s="13" t="e">
        <f ca="1"/>
        <v>#N/A</v>
      </c>
      <c r="B52" s="13" t="e">
        <f ca="1"/>
        <v>#N/A</v>
      </c>
      <c r="C52" s="13" t="e">
        <f ca="1"/>
        <v>#N/A</v>
      </c>
      <c r="D52" s="13" t="e">
        <f ca="1"/>
        <v>#N/A</v>
      </c>
      <c r="E52" s="13" t="e">
        <f ca="1"/>
        <v>#N/A</v>
      </c>
      <c r="F52" s="13" t="e">
        <f ca="1"/>
        <v>#N/A</v>
      </c>
      <c r="G52" s="13" t="e">
        <f ca="1"/>
        <v>#N/A</v>
      </c>
      <c r="H52" s="13"/>
      <c r="I52" s="13"/>
      <c r="J52" s="13"/>
      <c r="K52" s="13"/>
      <c r="S52" t="e">
        <v>#N/A</v>
      </c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</row>
    <row r="53" spans="1:45" ht="13.05" customHeight="1" x14ac:dyDescent="0.3">
      <c r="A53" s="13" t="e">
        <f ca="1"/>
        <v>#N/A</v>
      </c>
      <c r="B53" s="13" t="e">
        <f ca="1"/>
        <v>#N/A</v>
      </c>
      <c r="C53" s="13" t="e">
        <f ca="1"/>
        <v>#N/A</v>
      </c>
      <c r="D53" s="13" t="e">
        <f ca="1"/>
        <v>#N/A</v>
      </c>
      <c r="E53" s="13" t="e">
        <f ca="1"/>
        <v>#N/A</v>
      </c>
      <c r="F53" s="13" t="e">
        <f ca="1"/>
        <v>#N/A</v>
      </c>
      <c r="G53" s="13" t="e">
        <f ca="1"/>
        <v>#N/A</v>
      </c>
      <c r="H53" s="13"/>
      <c r="I53" s="13"/>
      <c r="J53" s="13"/>
      <c r="K53" s="13"/>
      <c r="S53" t="e">
        <v>#N/A</v>
      </c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</row>
    <row r="54" spans="1:45" ht="13.05" customHeight="1" x14ac:dyDescent="0.3">
      <c r="A54" s="13" t="e">
        <f ca="1"/>
        <v>#N/A</v>
      </c>
      <c r="B54" s="13" t="e">
        <f ca="1"/>
        <v>#N/A</v>
      </c>
      <c r="C54" s="13" t="e">
        <f ca="1"/>
        <v>#N/A</v>
      </c>
      <c r="D54" s="13" t="e">
        <f ca="1"/>
        <v>#N/A</v>
      </c>
      <c r="E54" s="13" t="e">
        <f ca="1"/>
        <v>#N/A</v>
      </c>
      <c r="F54" s="13" t="e">
        <f ca="1"/>
        <v>#N/A</v>
      </c>
      <c r="G54" s="13" t="e">
        <f ca="1"/>
        <v>#N/A</v>
      </c>
      <c r="H54" s="13"/>
      <c r="I54" s="13"/>
      <c r="J54" s="13"/>
      <c r="K54" s="13"/>
      <c r="S54" t="e">
        <v>#N/A</v>
      </c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</row>
    <row r="55" spans="1:45" ht="13.05" customHeight="1" x14ac:dyDescent="0.3">
      <c r="A55" s="13" t="e">
        <f ca="1"/>
        <v>#N/A</v>
      </c>
      <c r="B55" s="13" t="e">
        <f ca="1"/>
        <v>#N/A</v>
      </c>
      <c r="C55" s="13" t="e">
        <f ca="1"/>
        <v>#N/A</v>
      </c>
      <c r="D55" s="13" t="e">
        <f ca="1"/>
        <v>#N/A</v>
      </c>
      <c r="E55" s="13" t="e">
        <f ca="1"/>
        <v>#N/A</v>
      </c>
      <c r="F55" s="13" t="e">
        <f ca="1"/>
        <v>#N/A</v>
      </c>
      <c r="G55" s="13" t="e">
        <f ca="1"/>
        <v>#N/A</v>
      </c>
      <c r="H55" s="13"/>
      <c r="I55" s="13"/>
      <c r="J55" s="13"/>
      <c r="K55" s="13"/>
      <c r="S55" t="e">
        <v>#N/A</v>
      </c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</row>
    <row r="56" spans="1:45" ht="13.05" customHeight="1" x14ac:dyDescent="0.3">
      <c r="A56" s="13" t="e">
        <f ca="1"/>
        <v>#N/A</v>
      </c>
      <c r="B56" s="13" t="e">
        <f ca="1"/>
        <v>#N/A</v>
      </c>
      <c r="C56" s="13" t="e">
        <f ca="1"/>
        <v>#N/A</v>
      </c>
      <c r="D56" s="13" t="e">
        <f ca="1"/>
        <v>#N/A</v>
      </c>
      <c r="E56" s="13" t="e">
        <f ca="1"/>
        <v>#N/A</v>
      </c>
      <c r="F56" s="13" t="e">
        <f ca="1"/>
        <v>#N/A</v>
      </c>
      <c r="G56" s="13" t="e">
        <f ca="1"/>
        <v>#N/A</v>
      </c>
      <c r="H56" s="13"/>
      <c r="I56" s="13"/>
      <c r="J56" s="13"/>
      <c r="K56" s="13"/>
      <c r="S56" t="e">
        <v>#N/A</v>
      </c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</row>
    <row r="57" spans="1:45" ht="13.05" customHeight="1" x14ac:dyDescent="0.3">
      <c r="A57" s="13" t="e">
        <f ca="1"/>
        <v>#N/A</v>
      </c>
      <c r="B57" s="13" t="e">
        <f ca="1"/>
        <v>#N/A</v>
      </c>
      <c r="C57" s="13" t="e">
        <f ca="1"/>
        <v>#N/A</v>
      </c>
      <c r="D57" s="13" t="e">
        <f ca="1"/>
        <v>#N/A</v>
      </c>
      <c r="E57" s="13" t="e">
        <f ca="1"/>
        <v>#N/A</v>
      </c>
      <c r="F57" s="13" t="e">
        <f ca="1"/>
        <v>#N/A</v>
      </c>
      <c r="G57" s="13" t="e">
        <f ca="1"/>
        <v>#N/A</v>
      </c>
      <c r="H57" s="13"/>
      <c r="I57" s="13"/>
      <c r="J57" s="13"/>
      <c r="K57" s="13"/>
      <c r="S57" t="e">
        <v>#N/A</v>
      </c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</row>
    <row r="58" spans="1:45" ht="13.05" customHeight="1" x14ac:dyDescent="0.3">
      <c r="A58" s="13" t="e">
        <f ca="1"/>
        <v>#N/A</v>
      </c>
      <c r="B58" s="13" t="e">
        <f ca="1"/>
        <v>#N/A</v>
      </c>
      <c r="C58" s="13" t="e">
        <f ca="1"/>
        <v>#N/A</v>
      </c>
      <c r="D58" s="13" t="e">
        <f ca="1"/>
        <v>#N/A</v>
      </c>
      <c r="E58" s="13" t="e">
        <f ca="1"/>
        <v>#N/A</v>
      </c>
      <c r="F58" s="13" t="e">
        <f ca="1"/>
        <v>#N/A</v>
      </c>
      <c r="G58" s="13" t="e">
        <f ca="1"/>
        <v>#N/A</v>
      </c>
      <c r="H58" s="13"/>
      <c r="I58" s="13"/>
      <c r="J58" s="13"/>
      <c r="K58" s="13"/>
      <c r="S58" t="e">
        <v>#N/A</v>
      </c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</row>
    <row r="59" spans="1:45" ht="13.05" customHeight="1" x14ac:dyDescent="0.3">
      <c r="A59" s="13" t="e">
        <f ca="1"/>
        <v>#N/A</v>
      </c>
      <c r="B59" s="13" t="e">
        <f ca="1"/>
        <v>#N/A</v>
      </c>
      <c r="C59" s="13" t="e">
        <f ca="1"/>
        <v>#N/A</v>
      </c>
      <c r="D59" s="13" t="e">
        <f ca="1"/>
        <v>#N/A</v>
      </c>
      <c r="E59" s="13" t="e">
        <f ca="1"/>
        <v>#N/A</v>
      </c>
      <c r="F59" s="13" t="e">
        <f ca="1"/>
        <v>#N/A</v>
      </c>
      <c r="G59" s="13" t="e">
        <f ca="1"/>
        <v>#N/A</v>
      </c>
      <c r="H59" s="13"/>
      <c r="I59" s="13"/>
      <c r="J59" s="13"/>
      <c r="K59" s="13"/>
      <c r="S59" t="e">
        <v>#N/A</v>
      </c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</row>
    <row r="60" spans="1:45" ht="13.05" customHeight="1" x14ac:dyDescent="0.3">
      <c r="A60" s="13" t="e">
        <f ca="1"/>
        <v>#N/A</v>
      </c>
      <c r="B60" s="13" t="e">
        <f ca="1"/>
        <v>#N/A</v>
      </c>
      <c r="C60" s="13" t="e">
        <f ca="1"/>
        <v>#N/A</v>
      </c>
      <c r="D60" s="13" t="e">
        <f ca="1"/>
        <v>#N/A</v>
      </c>
      <c r="E60" s="13" t="e">
        <f ca="1"/>
        <v>#N/A</v>
      </c>
      <c r="F60" s="13" t="e">
        <f ca="1"/>
        <v>#N/A</v>
      </c>
      <c r="G60" s="13" t="e">
        <f ca="1"/>
        <v>#N/A</v>
      </c>
      <c r="H60" s="13"/>
      <c r="I60" s="13"/>
      <c r="J60" s="13"/>
      <c r="K60" s="13"/>
      <c r="S60" t="e">
        <v>#N/A</v>
      </c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</row>
    <row r="61" spans="1:45" ht="13.05" customHeight="1" x14ac:dyDescent="0.3">
      <c r="A61" s="13" t="e">
        <f ca="1"/>
        <v>#N/A</v>
      </c>
      <c r="B61" s="13" t="e">
        <f ca="1"/>
        <v>#N/A</v>
      </c>
      <c r="C61" s="13" t="e">
        <f ca="1"/>
        <v>#N/A</v>
      </c>
      <c r="D61" s="13" t="e">
        <f ca="1"/>
        <v>#N/A</v>
      </c>
      <c r="E61" s="13" t="e">
        <f ca="1"/>
        <v>#N/A</v>
      </c>
      <c r="F61" s="13" t="e">
        <f ca="1"/>
        <v>#N/A</v>
      </c>
      <c r="G61" s="13" t="e">
        <f ca="1"/>
        <v>#N/A</v>
      </c>
      <c r="H61" s="13"/>
      <c r="I61" s="13"/>
      <c r="J61" s="13"/>
      <c r="K61" s="13"/>
      <c r="S61" t="e">
        <v>#N/A</v>
      </c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</row>
    <row r="62" spans="1:45" ht="13.05" customHeight="1" x14ac:dyDescent="0.3">
      <c r="A62" s="13" t="e">
        <f ca="1"/>
        <v>#N/A</v>
      </c>
      <c r="B62" s="13" t="e">
        <f ca="1"/>
        <v>#N/A</v>
      </c>
      <c r="C62" s="13" t="e">
        <f ca="1"/>
        <v>#N/A</v>
      </c>
      <c r="D62" s="13" t="e">
        <f ca="1"/>
        <v>#N/A</v>
      </c>
      <c r="E62" s="13" t="e">
        <f ca="1"/>
        <v>#N/A</v>
      </c>
      <c r="F62" s="13" t="e">
        <f ca="1"/>
        <v>#N/A</v>
      </c>
      <c r="G62" s="13" t="e">
        <f ca="1"/>
        <v>#N/A</v>
      </c>
      <c r="H62" s="13"/>
      <c r="I62" s="13"/>
      <c r="J62" s="13"/>
      <c r="K62" s="13"/>
      <c r="S62" t="e">
        <v>#N/A</v>
      </c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</row>
    <row r="63" spans="1:45" ht="13.05" customHeight="1" x14ac:dyDescent="0.3">
      <c r="A63" s="13" t="e">
        <f ca="1"/>
        <v>#N/A</v>
      </c>
      <c r="B63" s="13" t="e">
        <f ca="1"/>
        <v>#N/A</v>
      </c>
      <c r="C63" s="13" t="e">
        <f ca="1"/>
        <v>#N/A</v>
      </c>
      <c r="D63" s="13" t="e">
        <f ca="1"/>
        <v>#N/A</v>
      </c>
      <c r="E63" s="13" t="e">
        <f ca="1"/>
        <v>#N/A</v>
      </c>
      <c r="F63" s="13" t="e">
        <f ca="1"/>
        <v>#N/A</v>
      </c>
      <c r="G63" s="13" t="e">
        <f ca="1"/>
        <v>#N/A</v>
      </c>
      <c r="H63" s="13"/>
      <c r="I63" s="13"/>
      <c r="J63" s="13"/>
      <c r="K63" s="13"/>
      <c r="S63" t="e">
        <v>#N/A</v>
      </c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</row>
    <row r="64" spans="1:45" ht="13.05" customHeight="1" x14ac:dyDescent="0.3">
      <c r="A64" s="13" t="e">
        <f ca="1"/>
        <v>#N/A</v>
      </c>
      <c r="B64" s="13" t="e">
        <f ca="1"/>
        <v>#N/A</v>
      </c>
      <c r="C64" s="13" t="e">
        <f ca="1"/>
        <v>#N/A</v>
      </c>
      <c r="D64" s="13" t="e">
        <f ca="1"/>
        <v>#N/A</v>
      </c>
      <c r="E64" s="13" t="e">
        <f ca="1"/>
        <v>#N/A</v>
      </c>
      <c r="F64" s="13" t="e">
        <f ca="1"/>
        <v>#N/A</v>
      </c>
      <c r="G64" s="13" t="e">
        <f ca="1"/>
        <v>#N/A</v>
      </c>
      <c r="H64" s="13"/>
      <c r="I64" s="13"/>
      <c r="J64" s="13"/>
      <c r="K64" s="13"/>
      <c r="S64" t="e">
        <v>#N/A</v>
      </c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</row>
    <row r="65" spans="1:45" ht="13.05" customHeight="1" x14ac:dyDescent="0.3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S65" t="e">
        <v>#N/A</v>
      </c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</row>
    <row r="66" spans="1:45" ht="13.05" customHeight="1" x14ac:dyDescent="0.3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S66" t="e">
        <v>#N/A</v>
      </c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</row>
    <row r="67" spans="1:45" ht="13.05" customHeight="1" x14ac:dyDescent="0.3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S67" t="e">
        <v>#N/A</v>
      </c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</row>
    <row r="68" spans="1:45" ht="13.05" customHeight="1" x14ac:dyDescent="0.3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S68" t="e">
        <v>#N/A</v>
      </c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</row>
    <row r="69" spans="1:45" ht="13.05" customHeight="1" x14ac:dyDescent="0.3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S69" t="e">
        <v>#N/A</v>
      </c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</row>
    <row r="70" spans="1:45" ht="13.05" customHeight="1" x14ac:dyDescent="0.3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S70" t="e">
        <v>#N/A</v>
      </c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</row>
    <row r="71" spans="1:45" ht="13.05" customHeight="1" x14ac:dyDescent="0.3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S71" t="e">
        <v>#N/A</v>
      </c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</row>
    <row r="72" spans="1:45" ht="13.05" customHeight="1" x14ac:dyDescent="0.3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S72" t="e">
        <v>#N/A</v>
      </c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</row>
    <row r="73" spans="1:45" ht="13.05" customHeight="1" x14ac:dyDescent="0.3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S73" t="e">
        <v>#N/A</v>
      </c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</row>
    <row r="74" spans="1:45" ht="13.05" customHeight="1" x14ac:dyDescent="0.3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S74" t="e">
        <v>#N/A</v>
      </c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</row>
    <row r="75" spans="1:45" ht="13.05" customHeight="1" x14ac:dyDescent="0.3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S75" t="e">
        <v>#N/A</v>
      </c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</row>
    <row r="76" spans="1:45" ht="13.05" customHeight="1" x14ac:dyDescent="0.3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S76" t="e">
        <v>#N/A</v>
      </c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</row>
    <row r="77" spans="1:45" ht="13.05" customHeight="1" x14ac:dyDescent="0.3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S77" t="e">
        <v>#N/A</v>
      </c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</row>
    <row r="78" spans="1:45" ht="13.05" customHeight="1" x14ac:dyDescent="0.3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S78" t="e">
        <v>#N/A</v>
      </c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</row>
    <row r="79" spans="1:45" ht="13.05" customHeight="1" x14ac:dyDescent="0.3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S79" t="e">
        <v>#N/A</v>
      </c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</row>
    <row r="80" spans="1:45" ht="13.05" customHeight="1" x14ac:dyDescent="0.3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S80" t="e">
        <v>#N/A</v>
      </c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</row>
    <row r="81" spans="1:45" ht="13.05" customHeight="1" x14ac:dyDescent="0.3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S81" t="e">
        <v>#N/A</v>
      </c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</row>
    <row r="82" spans="1:45" ht="13.05" customHeight="1" x14ac:dyDescent="0.3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S82" t="e">
        <v>#N/A</v>
      </c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</row>
    <row r="83" spans="1:45" ht="13.05" customHeight="1" x14ac:dyDescent="0.3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S83" t="e">
        <v>#N/A</v>
      </c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</row>
    <row r="84" spans="1:45" ht="13.05" customHeight="1" x14ac:dyDescent="0.3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S84" t="e">
        <v>#N/A</v>
      </c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</row>
    <row r="85" spans="1:45" ht="13.05" customHeight="1" x14ac:dyDescent="0.3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S85" t="e">
        <v>#N/A</v>
      </c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</row>
    <row r="86" spans="1:45" ht="13.05" customHeight="1" x14ac:dyDescent="0.3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S86" t="e">
        <v>#N/A</v>
      </c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</row>
    <row r="87" spans="1:45" ht="13.05" customHeight="1" x14ac:dyDescent="0.3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S87" t="e">
        <v>#N/A</v>
      </c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</row>
    <row r="88" spans="1:45" ht="13.05" customHeight="1" x14ac:dyDescent="0.3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S88" t="e">
        <v>#N/A</v>
      </c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</row>
    <row r="89" spans="1:45" ht="13.05" customHeight="1" x14ac:dyDescent="0.3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S89" t="e">
        <v>#N/A</v>
      </c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</row>
    <row r="90" spans="1:45" ht="13.05" customHeight="1" x14ac:dyDescent="0.3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S90" t="e">
        <v>#N/A</v>
      </c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</row>
    <row r="91" spans="1:45" ht="13.05" customHeight="1" x14ac:dyDescent="0.3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S91" t="e">
        <v>#N/A</v>
      </c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</row>
    <row r="92" spans="1:45" ht="13.05" customHeight="1" x14ac:dyDescent="0.3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S92" t="e">
        <v>#N/A</v>
      </c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</row>
    <row r="93" spans="1:45" ht="13.05" customHeight="1" x14ac:dyDescent="0.3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S93" t="e">
        <v>#N/A</v>
      </c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</row>
    <row r="94" spans="1:45" ht="13.05" customHeight="1" x14ac:dyDescent="0.3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S94" t="e">
        <v>#N/A</v>
      </c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</row>
    <row r="95" spans="1:45" ht="13.05" customHeight="1" x14ac:dyDescent="0.3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S95" t="e">
        <v>#N/A</v>
      </c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</row>
    <row r="96" spans="1:45" ht="13.05" customHeight="1" x14ac:dyDescent="0.3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S96" t="e">
        <v>#N/A</v>
      </c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</row>
    <row r="97" spans="1:45" ht="13.05" customHeight="1" x14ac:dyDescent="0.3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S97" t="e">
        <v>#N/A</v>
      </c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</row>
    <row r="98" spans="1:45" ht="13.05" customHeight="1" x14ac:dyDescent="0.3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S98" t="e">
        <v>#N/A</v>
      </c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</row>
    <row r="99" spans="1:45" ht="13.05" customHeight="1" x14ac:dyDescent="0.3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S99" t="e">
        <v>#N/A</v>
      </c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</row>
    <row r="100" spans="1:45" ht="13.05" customHeight="1" x14ac:dyDescent="0.3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S100" t="e">
        <v>#N/A</v>
      </c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</row>
    <row r="101" spans="1:45" ht="13.05" customHeight="1" x14ac:dyDescent="0.3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S101" t="e">
        <v>#N/A</v>
      </c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</row>
    <row r="102" spans="1:45" ht="13.05" customHeight="1" x14ac:dyDescent="0.3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S102" t="e">
        <v>#N/A</v>
      </c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</row>
    <row r="103" spans="1:45" ht="13.05" customHeight="1" x14ac:dyDescent="0.3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S103" t="e">
        <v>#N/A</v>
      </c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</row>
    <row r="104" spans="1:45" ht="13.05" customHeight="1" x14ac:dyDescent="0.3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S104" t="e">
        <v>#N/A</v>
      </c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</row>
    <row r="105" spans="1:45" ht="13.05" customHeight="1" x14ac:dyDescent="0.3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S105" t="e">
        <v>#N/A</v>
      </c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</row>
    <row r="106" spans="1:45" ht="13.05" customHeight="1" x14ac:dyDescent="0.3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S106" t="e">
        <v>#N/A</v>
      </c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</row>
    <row r="107" spans="1:45" ht="13.05" customHeight="1" x14ac:dyDescent="0.3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S107" t="e">
        <v>#N/A</v>
      </c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</row>
    <row r="108" spans="1:45" ht="13.05" customHeight="1" x14ac:dyDescent="0.3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S108" t="e">
        <v>#N/A</v>
      </c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</row>
    <row r="109" spans="1:45" ht="13.05" customHeight="1" x14ac:dyDescent="0.3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S109" t="e">
        <v>#N/A</v>
      </c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</row>
    <row r="110" spans="1:45" ht="13.05" customHeight="1" x14ac:dyDescent="0.3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S110" t="e">
        <v>#N/A</v>
      </c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</row>
    <row r="111" spans="1:45" ht="13.05" customHeight="1" x14ac:dyDescent="0.3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S111" t="e">
        <v>#N/A</v>
      </c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</row>
    <row r="112" spans="1:45" ht="13.05" customHeight="1" x14ac:dyDescent="0.3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S112" t="e">
        <v>#N/A</v>
      </c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</row>
    <row r="113" spans="1:45" ht="13.05" customHeight="1" x14ac:dyDescent="0.3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S113" t="e">
        <v>#N/A</v>
      </c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</row>
    <row r="114" spans="1:45" ht="13.05" customHeight="1" x14ac:dyDescent="0.3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S114" t="e">
        <v>#N/A</v>
      </c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</row>
    <row r="115" spans="1:45" ht="13.05" customHeight="1" x14ac:dyDescent="0.3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S115" t="e">
        <v>#N/A</v>
      </c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</row>
    <row r="116" spans="1:45" ht="13.05" customHeight="1" x14ac:dyDescent="0.3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S116" t="e">
        <v>#N/A</v>
      </c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</row>
    <row r="117" spans="1:45" ht="13.05" customHeight="1" x14ac:dyDescent="0.3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S117" t="e">
        <v>#N/A</v>
      </c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</row>
    <row r="118" spans="1:45" ht="13.05" customHeight="1" x14ac:dyDescent="0.3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S118" t="e">
        <v>#N/A</v>
      </c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</row>
    <row r="119" spans="1:45" ht="13.05" customHeight="1" x14ac:dyDescent="0.3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S119" t="e">
        <v>#N/A</v>
      </c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</row>
    <row r="120" spans="1:45" ht="13.05" customHeight="1" x14ac:dyDescent="0.3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S120" t="e">
        <v>#N/A</v>
      </c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</row>
    <row r="121" spans="1:45" ht="13.05" customHeight="1" x14ac:dyDescent="0.3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S121" t="e">
        <v>#N/A</v>
      </c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</row>
    <row r="122" spans="1:45" ht="13.05" customHeight="1" x14ac:dyDescent="0.3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S122" t="e">
        <v>#N/A</v>
      </c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</row>
    <row r="123" spans="1:45" ht="13.05" customHeight="1" x14ac:dyDescent="0.3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S123" t="e">
        <v>#N/A</v>
      </c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</row>
    <row r="124" spans="1:45" ht="13.05" customHeight="1" x14ac:dyDescent="0.3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S124" t="e">
        <v>#N/A</v>
      </c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</row>
    <row r="125" spans="1:45" ht="13.05" customHeight="1" x14ac:dyDescent="0.3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S125" t="e">
        <v>#N/A</v>
      </c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</row>
    <row r="126" spans="1:45" ht="13.05" customHeight="1" x14ac:dyDescent="0.3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S126" t="e">
        <v>#N/A</v>
      </c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</row>
    <row r="127" spans="1:45" ht="13.05" customHeight="1" x14ac:dyDescent="0.3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S127" t="e">
        <v>#N/A</v>
      </c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</row>
    <row r="128" spans="1:45" ht="13.05" customHeight="1" x14ac:dyDescent="0.3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S128" t="e">
        <v>#N/A</v>
      </c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</row>
    <row r="129" spans="1:45" ht="13.05" customHeight="1" x14ac:dyDescent="0.3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S129" t="e">
        <v>#N/A</v>
      </c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</row>
    <row r="130" spans="1:45" ht="13.05" customHeight="1" x14ac:dyDescent="0.3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S130" t="e">
        <v>#N/A</v>
      </c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</row>
    <row r="131" spans="1:45" ht="13.05" customHeight="1" x14ac:dyDescent="0.3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S131" t="e">
        <v>#N/A</v>
      </c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</row>
    <row r="132" spans="1:45" ht="13.05" customHeight="1" x14ac:dyDescent="0.3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S132" t="e">
        <v>#N/A</v>
      </c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</row>
    <row r="133" spans="1:45" ht="13.05" customHeight="1" x14ac:dyDescent="0.3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S133" t="e">
        <v>#N/A</v>
      </c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</row>
    <row r="134" spans="1:45" ht="13.05" customHeight="1" x14ac:dyDescent="0.3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S134" t="e">
        <v>#N/A</v>
      </c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</row>
    <row r="135" spans="1:45" ht="13.05" customHeight="1" x14ac:dyDescent="0.3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S135" t="e">
        <v>#N/A</v>
      </c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</row>
    <row r="136" spans="1:45" ht="13.05" customHeigh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S136" t="e">
        <v>#N/A</v>
      </c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</row>
    <row r="137" spans="1:45" ht="13.05" customHeight="1" x14ac:dyDescent="0.3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S137" t="e">
        <v>#N/A</v>
      </c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</row>
    <row r="138" spans="1:45" ht="13.05" customHeigh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S138" t="e">
        <v>#N/A</v>
      </c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</row>
    <row r="139" spans="1:45" ht="13.05" customHeigh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S139" t="e">
        <v>#N/A</v>
      </c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</row>
    <row r="140" spans="1:45" ht="13.05" customHeight="1" x14ac:dyDescent="0.3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S140" t="e">
        <v>#N/A</v>
      </c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</row>
    <row r="141" spans="1:45" ht="13.05" customHeight="1" x14ac:dyDescent="0.3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S141" t="e">
        <v>#N/A</v>
      </c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</row>
    <row r="142" spans="1:45" ht="13.05" customHeight="1" x14ac:dyDescent="0.3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S142" t="e">
        <v>#N/A</v>
      </c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</row>
    <row r="143" spans="1:45" ht="13.05" customHeigh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S143" t="e">
        <v>#N/A</v>
      </c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</row>
    <row r="144" spans="1:45" ht="13.05" customHeight="1" x14ac:dyDescent="0.3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S144" t="e">
        <v>#N/A</v>
      </c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</row>
    <row r="145" spans="1:45" ht="13.05" customHeight="1" x14ac:dyDescent="0.3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S145" t="e">
        <v>#N/A</v>
      </c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</row>
    <row r="146" spans="1:45" ht="13.05" customHeight="1" x14ac:dyDescent="0.3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S146" t="e">
        <v>#N/A</v>
      </c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</row>
    <row r="147" spans="1:45" ht="13.05" customHeigh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S147" t="e">
        <v>#N/A</v>
      </c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</row>
    <row r="148" spans="1:45" ht="13.05" customHeight="1" x14ac:dyDescent="0.3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S148" t="e">
        <v>#N/A</v>
      </c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</row>
    <row r="149" spans="1:45" ht="13.05" customHeight="1" x14ac:dyDescent="0.3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S149" t="e">
        <v>#N/A</v>
      </c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</row>
    <row r="150" spans="1:45" ht="13.05" customHeight="1" x14ac:dyDescent="0.3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S150" t="e">
        <v>#N/A</v>
      </c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</row>
    <row r="151" spans="1:45" ht="13.05" customHeigh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S151" t="e">
        <v>#N/A</v>
      </c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</row>
    <row r="152" spans="1:45" ht="13.05" customHeight="1" x14ac:dyDescent="0.3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S152" t="e">
        <v>#N/A</v>
      </c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</row>
    <row r="153" spans="1:45" ht="13.05" customHeight="1" x14ac:dyDescent="0.3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S153" t="e">
        <v>#N/A</v>
      </c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</row>
    <row r="154" spans="1:45" ht="13.05" customHeight="1" x14ac:dyDescent="0.3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S154" t="e">
        <v>#N/A</v>
      </c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</row>
    <row r="155" spans="1:45" ht="13.05" customHeight="1" x14ac:dyDescent="0.3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S155" t="e">
        <v>#N/A</v>
      </c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</row>
    <row r="156" spans="1:45" ht="13.05" customHeight="1" x14ac:dyDescent="0.3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S156" t="e">
        <v>#N/A</v>
      </c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</row>
    <row r="157" spans="1:45" ht="13.05" customHeight="1" x14ac:dyDescent="0.3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S157" t="e">
        <v>#N/A</v>
      </c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</row>
    <row r="158" spans="1:45" ht="13.05" customHeight="1" x14ac:dyDescent="0.3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S158" t="e">
        <v>#N/A</v>
      </c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</row>
    <row r="159" spans="1:45" ht="13.05" customHeight="1" x14ac:dyDescent="0.3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S159" t="e">
        <v>#N/A</v>
      </c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</row>
    <row r="160" spans="1:45" ht="13.05" customHeight="1" x14ac:dyDescent="0.3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S160" t="e">
        <v>#N/A</v>
      </c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</row>
    <row r="161" spans="1:45" ht="13.05" customHeight="1" x14ac:dyDescent="0.3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S161" t="e">
        <v>#N/A</v>
      </c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</row>
    <row r="162" spans="1:45" ht="13.05" customHeight="1" x14ac:dyDescent="0.3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S162" t="e">
        <v>#N/A</v>
      </c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</row>
    <row r="163" spans="1:45" ht="13.05" customHeight="1" x14ac:dyDescent="0.3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S163" t="e">
        <v>#N/A</v>
      </c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</row>
    <row r="164" spans="1:45" ht="13.05" customHeight="1" x14ac:dyDescent="0.3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S164" t="e">
        <v>#N/A</v>
      </c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</row>
    <row r="165" spans="1:45" ht="13.05" customHeight="1" x14ac:dyDescent="0.3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S165" t="e">
        <v>#N/A</v>
      </c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</row>
    <row r="166" spans="1:45" ht="13.05" customHeight="1" x14ac:dyDescent="0.3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S166" t="e">
        <v>#N/A</v>
      </c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</row>
    <row r="167" spans="1:45" ht="13.05" customHeight="1" x14ac:dyDescent="0.3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S167" t="e">
        <v>#N/A</v>
      </c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</row>
    <row r="168" spans="1:45" ht="13.05" customHeight="1" x14ac:dyDescent="0.3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S168" t="e">
        <v>#N/A</v>
      </c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</row>
    <row r="169" spans="1:45" ht="13.05" customHeight="1" x14ac:dyDescent="0.3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S169" t="e">
        <v>#N/A</v>
      </c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</row>
    <row r="170" spans="1:45" ht="13.05" customHeight="1" x14ac:dyDescent="0.3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S170" t="e">
        <v>#N/A</v>
      </c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</row>
    <row r="171" spans="1:45" ht="13.05" customHeight="1" x14ac:dyDescent="0.3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S171" t="e">
        <v>#N/A</v>
      </c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</row>
    <row r="172" spans="1:45" ht="13.05" customHeight="1" x14ac:dyDescent="0.3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S172" t="e">
        <v>#N/A</v>
      </c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</row>
    <row r="173" spans="1:45" ht="13.05" customHeight="1" x14ac:dyDescent="0.3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S173" t="e">
        <v>#N/A</v>
      </c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</row>
    <row r="174" spans="1:45" ht="13.05" customHeight="1" x14ac:dyDescent="0.3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S174" t="e">
        <v>#N/A</v>
      </c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</row>
    <row r="175" spans="1:45" ht="13.05" customHeight="1" x14ac:dyDescent="0.3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S175" t="e">
        <v>#N/A</v>
      </c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</row>
    <row r="176" spans="1:45" ht="13.05" customHeight="1" x14ac:dyDescent="0.3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S176" t="e">
        <v>#N/A</v>
      </c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</row>
    <row r="177" spans="1:45" ht="13.05" customHeight="1" x14ac:dyDescent="0.3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S177" t="e">
        <v>#N/A</v>
      </c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</row>
    <row r="178" spans="1:45" ht="13.05" customHeight="1" x14ac:dyDescent="0.3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S178" t="e">
        <v>#N/A</v>
      </c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</row>
    <row r="179" spans="1:45" ht="13.05" customHeight="1" x14ac:dyDescent="0.3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S179" t="e">
        <v>#N/A</v>
      </c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</row>
    <row r="180" spans="1:45" ht="13.05" customHeight="1" x14ac:dyDescent="0.3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S180" t="e">
        <v>#N/A</v>
      </c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</row>
    <row r="181" spans="1:45" ht="13.05" customHeight="1" x14ac:dyDescent="0.3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S181" t="e">
        <v>#N/A</v>
      </c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</row>
    <row r="182" spans="1:45" ht="13.05" customHeight="1" x14ac:dyDescent="0.3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S182" t="e">
        <v>#N/A</v>
      </c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</row>
    <row r="183" spans="1:45" ht="13.05" customHeight="1" x14ac:dyDescent="0.3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S183" t="e">
        <v>#N/A</v>
      </c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</row>
    <row r="184" spans="1:45" ht="13.05" customHeight="1" x14ac:dyDescent="0.3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S184" t="e">
        <v>#N/A</v>
      </c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</row>
    <row r="185" spans="1:45" ht="13.05" customHeight="1" x14ac:dyDescent="0.3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S185" t="e">
        <v>#N/A</v>
      </c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</row>
    <row r="186" spans="1:45" ht="13.05" customHeight="1" x14ac:dyDescent="0.3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S186" t="e">
        <v>#N/A</v>
      </c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</row>
    <row r="187" spans="1:45" ht="13.05" customHeight="1" x14ac:dyDescent="0.3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S187" t="e">
        <v>#N/A</v>
      </c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</row>
    <row r="188" spans="1:45" ht="13.05" customHeight="1" x14ac:dyDescent="0.3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S188" t="e">
        <v>#N/A</v>
      </c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</row>
    <row r="189" spans="1:45" ht="13.05" customHeight="1" x14ac:dyDescent="0.3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S189" t="e">
        <v>#N/A</v>
      </c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</row>
    <row r="190" spans="1:45" ht="13.05" customHeight="1" x14ac:dyDescent="0.3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S190" t="e">
        <v>#N/A</v>
      </c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</row>
    <row r="191" spans="1:45" ht="13.05" customHeight="1" x14ac:dyDescent="0.3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S191" t="e">
        <v>#N/A</v>
      </c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</row>
    <row r="192" spans="1:45" ht="13.05" customHeight="1" x14ac:dyDescent="0.3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S192" t="e">
        <v>#N/A</v>
      </c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</row>
    <row r="193" spans="1:45" ht="13.05" customHeight="1" x14ac:dyDescent="0.3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S193" t="e">
        <v>#N/A</v>
      </c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</row>
    <row r="194" spans="1:45" ht="13.05" customHeight="1" x14ac:dyDescent="0.3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S194" t="e">
        <v>#N/A</v>
      </c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</row>
    <row r="195" spans="1:45" ht="13.05" customHeight="1" x14ac:dyDescent="0.3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S195" t="e">
        <v>#N/A</v>
      </c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</row>
    <row r="196" spans="1:45" ht="13.05" customHeight="1" x14ac:dyDescent="0.3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S196" t="e">
        <v>#N/A</v>
      </c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</row>
    <row r="197" spans="1:45" ht="13.05" customHeight="1" x14ac:dyDescent="0.3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S197" t="e">
        <v>#N/A</v>
      </c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</row>
    <row r="198" spans="1:45" ht="13.05" customHeight="1" x14ac:dyDescent="0.3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S198" t="e">
        <v>#N/A</v>
      </c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</row>
    <row r="199" spans="1:45" ht="13.05" customHeight="1" x14ac:dyDescent="0.3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S199" t="e">
        <v>#N/A</v>
      </c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</row>
    <row r="200" spans="1:45" ht="13.05" customHeigh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S200" t="e">
        <v>#N/A</v>
      </c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</row>
    <row r="201" spans="1:45" x14ac:dyDescent="0.25">
      <c r="S201" t="e">
        <v>#N/A</v>
      </c>
    </row>
    <row r="202" spans="1:45" x14ac:dyDescent="0.25">
      <c r="S202" t="e">
        <v>#N/A</v>
      </c>
    </row>
    <row r="203" spans="1:45" x14ac:dyDescent="0.25">
      <c r="S203" t="e">
        <v>#N/A</v>
      </c>
    </row>
    <row r="204" spans="1:45" x14ac:dyDescent="0.25">
      <c r="S204" t="e">
        <v>#N/A</v>
      </c>
    </row>
    <row r="205" spans="1:45" x14ac:dyDescent="0.25">
      <c r="S205" t="e">
        <v>#N/A</v>
      </c>
    </row>
    <row r="206" spans="1:45" x14ac:dyDescent="0.25">
      <c r="S206" t="e">
        <v>#N/A</v>
      </c>
    </row>
    <row r="207" spans="1:45" x14ac:dyDescent="0.25">
      <c r="S207" t="e">
        <v>#N/A</v>
      </c>
    </row>
    <row r="208" spans="1:45" x14ac:dyDescent="0.25">
      <c r="S208" t="e">
        <v>#N/A</v>
      </c>
    </row>
    <row r="209" spans="19:19" x14ac:dyDescent="0.25">
      <c r="S209" t="e">
        <v>#N/A</v>
      </c>
    </row>
    <row r="210" spans="19:19" x14ac:dyDescent="0.25">
      <c r="S210" t="e">
        <v>#N/A</v>
      </c>
    </row>
    <row r="211" spans="19:19" x14ac:dyDescent="0.25">
      <c r="S211" t="e">
        <v>#N/A</v>
      </c>
    </row>
    <row r="212" spans="19:19" x14ac:dyDescent="0.25">
      <c r="S212" t="e">
        <v>#N/A</v>
      </c>
    </row>
    <row r="213" spans="19:19" x14ac:dyDescent="0.25">
      <c r="S213" t="e">
        <v>#N/A</v>
      </c>
    </row>
    <row r="214" spans="19:19" x14ac:dyDescent="0.25">
      <c r="S214" t="e">
        <v>#N/A</v>
      </c>
    </row>
    <row r="215" spans="19:19" x14ac:dyDescent="0.25">
      <c r="S215" t="e">
        <v>#N/A</v>
      </c>
    </row>
    <row r="216" spans="19:19" x14ac:dyDescent="0.25">
      <c r="S216" t="e">
        <v>#N/A</v>
      </c>
    </row>
    <row r="217" spans="19:19" x14ac:dyDescent="0.25">
      <c r="S217" t="e">
        <v>#N/A</v>
      </c>
    </row>
    <row r="218" spans="19:19" x14ac:dyDescent="0.25">
      <c r="S218" t="e">
        <v>#N/A</v>
      </c>
    </row>
    <row r="219" spans="19:19" x14ac:dyDescent="0.25">
      <c r="S219" t="e">
        <v>#N/A</v>
      </c>
    </row>
    <row r="220" spans="19:19" x14ac:dyDescent="0.25">
      <c r="S220" t="e">
        <v>#N/A</v>
      </c>
    </row>
    <row r="221" spans="19:19" x14ac:dyDescent="0.25">
      <c r="S221" t="e">
        <v>#N/A</v>
      </c>
    </row>
    <row r="222" spans="19:19" x14ac:dyDescent="0.25">
      <c r="S222" t="e">
        <v>#N/A</v>
      </c>
    </row>
    <row r="223" spans="19:19" x14ac:dyDescent="0.25">
      <c r="S223" t="e">
        <v>#N/A</v>
      </c>
    </row>
    <row r="224" spans="19:19" x14ac:dyDescent="0.25">
      <c r="S224" t="e">
        <v>#N/A</v>
      </c>
    </row>
    <row r="225" spans="19:19" x14ac:dyDescent="0.25">
      <c r="S225" t="e">
        <v>#N/A</v>
      </c>
    </row>
    <row r="226" spans="19:19" x14ac:dyDescent="0.25">
      <c r="S226" t="e">
        <v>#N/A</v>
      </c>
    </row>
    <row r="227" spans="19:19" x14ac:dyDescent="0.25">
      <c r="S227" t="e">
        <v>#N/A</v>
      </c>
    </row>
    <row r="228" spans="19:19" x14ac:dyDescent="0.25">
      <c r="S228" t="e">
        <v>#N/A</v>
      </c>
    </row>
    <row r="229" spans="19:19" x14ac:dyDescent="0.25">
      <c r="S229" t="e">
        <v>#N/A</v>
      </c>
    </row>
    <row r="230" spans="19:19" x14ac:dyDescent="0.25">
      <c r="S230" t="e">
        <v>#N/A</v>
      </c>
    </row>
    <row r="231" spans="19:19" x14ac:dyDescent="0.25">
      <c r="S231" t="e">
        <v>#N/A</v>
      </c>
    </row>
    <row r="232" spans="19:19" x14ac:dyDescent="0.25">
      <c r="S232" t="e">
        <v>#N/A</v>
      </c>
    </row>
    <row r="233" spans="19:19" x14ac:dyDescent="0.25">
      <c r="S233" t="e">
        <v>#N/A</v>
      </c>
    </row>
    <row r="234" spans="19:19" x14ac:dyDescent="0.25">
      <c r="S234" t="e">
        <v>#N/A</v>
      </c>
    </row>
    <row r="235" spans="19:19" x14ac:dyDescent="0.25">
      <c r="S235" t="e">
        <v>#N/A</v>
      </c>
    </row>
    <row r="236" spans="19:19" x14ac:dyDescent="0.25">
      <c r="S236" t="e">
        <v>#N/A</v>
      </c>
    </row>
    <row r="237" spans="19:19" x14ac:dyDescent="0.25">
      <c r="S237" t="e">
        <v>#N/A</v>
      </c>
    </row>
    <row r="238" spans="19:19" x14ac:dyDescent="0.25">
      <c r="S238" t="e">
        <v>#N/A</v>
      </c>
    </row>
    <row r="239" spans="19:19" x14ac:dyDescent="0.25">
      <c r="S239" t="e">
        <v>#N/A</v>
      </c>
    </row>
    <row r="240" spans="19:19" x14ac:dyDescent="0.25">
      <c r="S240" t="e">
        <v>#N/A</v>
      </c>
    </row>
    <row r="241" spans="19:19" x14ac:dyDescent="0.25">
      <c r="S241" t="e">
        <v>#N/A</v>
      </c>
    </row>
    <row r="242" spans="19:19" x14ac:dyDescent="0.25">
      <c r="S242" t="e">
        <v>#N/A</v>
      </c>
    </row>
    <row r="243" spans="19:19" x14ac:dyDescent="0.25">
      <c r="S243" t="e">
        <v>#N/A</v>
      </c>
    </row>
    <row r="244" spans="19:19" x14ac:dyDescent="0.25">
      <c r="S244" t="e">
        <v>#N/A</v>
      </c>
    </row>
    <row r="245" spans="19:19" x14ac:dyDescent="0.25">
      <c r="S245" t="e">
        <v>#N/A</v>
      </c>
    </row>
    <row r="246" spans="19:19" x14ac:dyDescent="0.25">
      <c r="S246" t="e">
        <v>#N/A</v>
      </c>
    </row>
    <row r="247" spans="19:19" x14ac:dyDescent="0.25">
      <c r="S247" t="e">
        <v>#N/A</v>
      </c>
    </row>
    <row r="248" spans="19:19" x14ac:dyDescent="0.25">
      <c r="S248" t="e">
        <v>#N/A</v>
      </c>
    </row>
    <row r="249" spans="19:19" x14ac:dyDescent="0.25">
      <c r="S249" t="e">
        <v>#N/A</v>
      </c>
    </row>
    <row r="250" spans="19:19" x14ac:dyDescent="0.25">
      <c r="S250" t="e">
        <v>#N/A</v>
      </c>
    </row>
    <row r="251" spans="19:19" x14ac:dyDescent="0.25">
      <c r="S251" t="e">
        <v>#N/A</v>
      </c>
    </row>
    <row r="252" spans="19:19" x14ac:dyDescent="0.25">
      <c r="S252" t="e">
        <v>#N/A</v>
      </c>
    </row>
    <row r="253" spans="19:19" x14ac:dyDescent="0.25">
      <c r="S253" t="e">
        <v>#N/A</v>
      </c>
    </row>
    <row r="254" spans="19:19" x14ac:dyDescent="0.25">
      <c r="S254" t="e">
        <v>#N/A</v>
      </c>
    </row>
    <row r="255" spans="19:19" x14ac:dyDescent="0.25">
      <c r="S255" t="e">
        <v>#N/A</v>
      </c>
    </row>
    <row r="256" spans="19:19" x14ac:dyDescent="0.25">
      <c r="S256" t="e">
        <v>#N/A</v>
      </c>
    </row>
    <row r="257" spans="19:19" x14ac:dyDescent="0.25">
      <c r="S257" t="e">
        <v>#N/A</v>
      </c>
    </row>
    <row r="258" spans="19:19" x14ac:dyDescent="0.25">
      <c r="S258" t="e">
        <v>#N/A</v>
      </c>
    </row>
    <row r="259" spans="19:19" x14ac:dyDescent="0.25">
      <c r="S259" t="e">
        <v>#N/A</v>
      </c>
    </row>
    <row r="260" spans="19:19" x14ac:dyDescent="0.25">
      <c r="S260" t="e">
        <v>#N/A</v>
      </c>
    </row>
    <row r="261" spans="19:19" x14ac:dyDescent="0.25">
      <c r="S261" t="e">
        <v>#N/A</v>
      </c>
    </row>
    <row r="262" spans="19:19" x14ac:dyDescent="0.25">
      <c r="S262" t="e">
        <v>#N/A</v>
      </c>
    </row>
    <row r="263" spans="19:19" x14ac:dyDescent="0.25">
      <c r="S263" t="e">
        <v>#N/A</v>
      </c>
    </row>
    <row r="264" spans="19:19" x14ac:dyDescent="0.25">
      <c r="S264" t="e">
        <v>#N/A</v>
      </c>
    </row>
    <row r="265" spans="19:19" x14ac:dyDescent="0.25">
      <c r="S265" t="e">
        <v>#N/A</v>
      </c>
    </row>
    <row r="266" spans="19:19" x14ac:dyDescent="0.25">
      <c r="S266" t="e">
        <v>#N/A</v>
      </c>
    </row>
    <row r="267" spans="19:19" x14ac:dyDescent="0.25">
      <c r="S267" t="e">
        <v>#N/A</v>
      </c>
    </row>
    <row r="268" spans="19:19" x14ac:dyDescent="0.25">
      <c r="S268" t="e">
        <v>#N/A</v>
      </c>
    </row>
    <row r="269" spans="19:19" x14ac:dyDescent="0.25">
      <c r="S269" t="e">
        <v>#N/A</v>
      </c>
    </row>
    <row r="270" spans="19:19" x14ac:dyDescent="0.25">
      <c r="S270" t="e">
        <v>#N/A</v>
      </c>
    </row>
    <row r="271" spans="19:19" x14ac:dyDescent="0.25">
      <c r="S271" t="e">
        <v>#N/A</v>
      </c>
    </row>
    <row r="272" spans="19:19" x14ac:dyDescent="0.25">
      <c r="S272" t="e">
        <v>#N/A</v>
      </c>
    </row>
    <row r="273" spans="19:19" x14ac:dyDescent="0.25">
      <c r="S273" t="e">
        <v>#N/A</v>
      </c>
    </row>
    <row r="274" spans="19:19" x14ac:dyDescent="0.25">
      <c r="S274" t="e">
        <v>#N/A</v>
      </c>
    </row>
    <row r="275" spans="19:19" x14ac:dyDescent="0.25">
      <c r="S275" t="e">
        <v>#N/A</v>
      </c>
    </row>
    <row r="276" spans="19:19" x14ac:dyDescent="0.25">
      <c r="S276" t="e">
        <v>#N/A</v>
      </c>
    </row>
    <row r="277" spans="19:19" x14ac:dyDescent="0.25">
      <c r="S277" t="e">
        <v>#N/A</v>
      </c>
    </row>
    <row r="278" spans="19:19" x14ac:dyDescent="0.25">
      <c r="S278" t="e">
        <v>#N/A</v>
      </c>
    </row>
    <row r="279" spans="19:19" x14ac:dyDescent="0.25">
      <c r="S279" t="e">
        <v>#N/A</v>
      </c>
    </row>
    <row r="280" spans="19:19" x14ac:dyDescent="0.25">
      <c r="S280" t="e">
        <v>#N/A</v>
      </c>
    </row>
    <row r="281" spans="19:19" x14ac:dyDescent="0.25">
      <c r="S281" t="e">
        <v>#N/A</v>
      </c>
    </row>
    <row r="282" spans="19:19" x14ac:dyDescent="0.25">
      <c r="S282" t="e">
        <v>#N/A</v>
      </c>
    </row>
    <row r="283" spans="19:19" x14ac:dyDescent="0.25">
      <c r="S283" t="e">
        <v>#N/A</v>
      </c>
    </row>
    <row r="284" spans="19:19" x14ac:dyDescent="0.25">
      <c r="S284" t="e">
        <v>#N/A</v>
      </c>
    </row>
    <row r="285" spans="19:19" x14ac:dyDescent="0.25">
      <c r="S285" t="e">
        <v>#N/A</v>
      </c>
    </row>
    <row r="286" spans="19:19" x14ac:dyDescent="0.25">
      <c r="S286" t="e">
        <v>#N/A</v>
      </c>
    </row>
    <row r="287" spans="19:19" x14ac:dyDescent="0.25">
      <c r="S287" t="e">
        <v>#N/A</v>
      </c>
    </row>
    <row r="288" spans="19:19" x14ac:dyDescent="0.25">
      <c r="S288" t="e">
        <v>#N/A</v>
      </c>
    </row>
    <row r="289" spans="19:19" x14ac:dyDescent="0.25">
      <c r="S289" t="e">
        <v>#N/A</v>
      </c>
    </row>
    <row r="290" spans="19:19" x14ac:dyDescent="0.25">
      <c r="S290" t="e">
        <v>#N/A</v>
      </c>
    </row>
    <row r="291" spans="19:19" x14ac:dyDescent="0.25">
      <c r="S291" t="e">
        <v>#N/A</v>
      </c>
    </row>
    <row r="292" spans="19:19" x14ac:dyDescent="0.25">
      <c r="S292" t="e">
        <v>#N/A</v>
      </c>
    </row>
    <row r="293" spans="19:19" x14ac:dyDescent="0.25">
      <c r="S293" t="e">
        <v>#N/A</v>
      </c>
    </row>
    <row r="294" spans="19:19" x14ac:dyDescent="0.25">
      <c r="S294" t="e">
        <v>#N/A</v>
      </c>
    </row>
    <row r="295" spans="19:19" x14ac:dyDescent="0.25">
      <c r="S295" t="e">
        <v>#N/A</v>
      </c>
    </row>
    <row r="296" spans="19:19" x14ac:dyDescent="0.25">
      <c r="S296" t="e">
        <v>#N/A</v>
      </c>
    </row>
    <row r="297" spans="19:19" x14ac:dyDescent="0.25">
      <c r="S297" t="e">
        <v>#N/A</v>
      </c>
    </row>
    <row r="298" spans="19:19" x14ac:dyDescent="0.25">
      <c r="S298" t="e">
        <v>#N/A</v>
      </c>
    </row>
    <row r="299" spans="19:19" x14ac:dyDescent="0.25">
      <c r="S299" t="e">
        <v>#N/A</v>
      </c>
    </row>
    <row r="300" spans="19:19" x14ac:dyDescent="0.25">
      <c r="S300" t="e">
        <v>#N/A</v>
      </c>
    </row>
    <row r="301" spans="19:19" x14ac:dyDescent="0.25">
      <c r="S301" t="e">
        <v>#N/A</v>
      </c>
    </row>
    <row r="302" spans="19:19" x14ac:dyDescent="0.25">
      <c r="S302" t="e">
        <v>#N/A</v>
      </c>
    </row>
    <row r="303" spans="19:19" x14ac:dyDescent="0.25">
      <c r="S303" t="e">
        <v>#N/A</v>
      </c>
    </row>
    <row r="304" spans="19:19" x14ac:dyDescent="0.25">
      <c r="S304" t="e">
        <v>#N/A</v>
      </c>
    </row>
    <row r="305" spans="19:19" x14ac:dyDescent="0.25">
      <c r="S305" t="e">
        <v>#N/A</v>
      </c>
    </row>
    <row r="306" spans="19:19" x14ac:dyDescent="0.25">
      <c r="S306" t="e">
        <v>#N/A</v>
      </c>
    </row>
    <row r="307" spans="19:19" x14ac:dyDescent="0.25">
      <c r="S307" t="e">
        <v>#N/A</v>
      </c>
    </row>
    <row r="308" spans="19:19" x14ac:dyDescent="0.25">
      <c r="S308" t="e">
        <v>#N/A</v>
      </c>
    </row>
    <row r="309" spans="19:19" x14ac:dyDescent="0.25">
      <c r="S309" t="e">
        <v>#N/A</v>
      </c>
    </row>
    <row r="310" spans="19:19" x14ac:dyDescent="0.25">
      <c r="S310" t="e">
        <v>#N/A</v>
      </c>
    </row>
    <row r="311" spans="19:19" x14ac:dyDescent="0.25">
      <c r="S311" t="e">
        <v>#N/A</v>
      </c>
    </row>
    <row r="312" spans="19:19" x14ac:dyDescent="0.25">
      <c r="S312" t="e">
        <v>#N/A</v>
      </c>
    </row>
    <row r="313" spans="19:19" x14ac:dyDescent="0.25">
      <c r="S313" t="e">
        <v>#N/A</v>
      </c>
    </row>
    <row r="314" spans="19:19" x14ac:dyDescent="0.25">
      <c r="S314" t="e">
        <v>#N/A</v>
      </c>
    </row>
    <row r="315" spans="19:19" x14ac:dyDescent="0.25">
      <c r="S315" t="e">
        <v>#N/A</v>
      </c>
    </row>
    <row r="316" spans="19:19" x14ac:dyDescent="0.25">
      <c r="S316" t="e">
        <v>#N/A</v>
      </c>
    </row>
    <row r="317" spans="19:19" x14ac:dyDescent="0.25">
      <c r="S317" t="e">
        <v>#N/A</v>
      </c>
    </row>
    <row r="318" spans="19:19" x14ac:dyDescent="0.25">
      <c r="S318" t="e">
        <v>#N/A</v>
      </c>
    </row>
    <row r="319" spans="19:19" x14ac:dyDescent="0.25">
      <c r="S319" t="e">
        <v>#N/A</v>
      </c>
    </row>
    <row r="320" spans="19:19" x14ac:dyDescent="0.25">
      <c r="S320" t="e">
        <v>#N/A</v>
      </c>
    </row>
    <row r="321" spans="19:19" x14ac:dyDescent="0.25">
      <c r="S321" t="e">
        <v>#N/A</v>
      </c>
    </row>
    <row r="322" spans="19:19" x14ac:dyDescent="0.25">
      <c r="S322" t="e">
        <v>#N/A</v>
      </c>
    </row>
    <row r="323" spans="19:19" x14ac:dyDescent="0.25">
      <c r="S323" t="e">
        <v>#N/A</v>
      </c>
    </row>
    <row r="324" spans="19:19" x14ac:dyDescent="0.25">
      <c r="S324" t="e">
        <v>#N/A</v>
      </c>
    </row>
    <row r="325" spans="19:19" x14ac:dyDescent="0.25">
      <c r="S325" t="e">
        <v>#N/A</v>
      </c>
    </row>
    <row r="326" spans="19:19" x14ac:dyDescent="0.25">
      <c r="S326" t="e">
        <v>#N/A</v>
      </c>
    </row>
    <row r="327" spans="19:19" x14ac:dyDescent="0.25">
      <c r="S327" t="e">
        <v>#N/A</v>
      </c>
    </row>
    <row r="328" spans="19:19" x14ac:dyDescent="0.25">
      <c r="S328" t="e">
        <v>#N/A</v>
      </c>
    </row>
    <row r="329" spans="19:19" x14ac:dyDescent="0.25">
      <c r="S329" t="e">
        <v>#N/A</v>
      </c>
    </row>
    <row r="330" spans="19:19" x14ac:dyDescent="0.25">
      <c r="S330" t="e">
        <v>#N/A</v>
      </c>
    </row>
    <row r="331" spans="19:19" x14ac:dyDescent="0.25">
      <c r="S331" t="e">
        <v>#N/A</v>
      </c>
    </row>
    <row r="332" spans="19:19" x14ac:dyDescent="0.25">
      <c r="S332" t="e">
        <v>#N/A</v>
      </c>
    </row>
    <row r="333" spans="19:19" x14ac:dyDescent="0.25">
      <c r="S333" t="e">
        <v>#N/A</v>
      </c>
    </row>
    <row r="334" spans="19:19" x14ac:dyDescent="0.25">
      <c r="S334" t="e">
        <v>#N/A</v>
      </c>
    </row>
    <row r="335" spans="19:19" x14ac:dyDescent="0.25">
      <c r="S335" t="e">
        <v>#N/A</v>
      </c>
    </row>
    <row r="336" spans="19:19" x14ac:dyDescent="0.25">
      <c r="S336" t="e">
        <v>#N/A</v>
      </c>
    </row>
    <row r="337" spans="19:19" x14ac:dyDescent="0.25">
      <c r="S337" t="e">
        <v>#N/A</v>
      </c>
    </row>
    <row r="338" spans="19:19" x14ac:dyDescent="0.25">
      <c r="S338" t="e">
        <v>#N/A</v>
      </c>
    </row>
    <row r="339" spans="19:19" x14ac:dyDescent="0.25">
      <c r="S339" t="e">
        <v>#N/A</v>
      </c>
    </row>
    <row r="340" spans="19:19" x14ac:dyDescent="0.25">
      <c r="S340" t="e">
        <v>#N/A</v>
      </c>
    </row>
    <row r="341" spans="19:19" x14ac:dyDescent="0.25">
      <c r="S341" t="e">
        <v>#N/A</v>
      </c>
    </row>
    <row r="342" spans="19:19" x14ac:dyDescent="0.25">
      <c r="S342" t="e">
        <v>#N/A</v>
      </c>
    </row>
    <row r="343" spans="19:19" x14ac:dyDescent="0.25">
      <c r="S343" t="e">
        <v>#N/A</v>
      </c>
    </row>
    <row r="344" spans="19:19" x14ac:dyDescent="0.25">
      <c r="S344" t="e">
        <v>#N/A</v>
      </c>
    </row>
    <row r="345" spans="19:19" x14ac:dyDescent="0.25">
      <c r="S345" t="e">
        <v>#N/A</v>
      </c>
    </row>
    <row r="346" spans="19:19" x14ac:dyDescent="0.25">
      <c r="S346" t="e">
        <v>#N/A</v>
      </c>
    </row>
    <row r="347" spans="19:19" x14ac:dyDescent="0.25">
      <c r="S347" t="e">
        <v>#N/A</v>
      </c>
    </row>
    <row r="348" spans="19:19" x14ac:dyDescent="0.25">
      <c r="S348" t="e">
        <v>#N/A</v>
      </c>
    </row>
    <row r="349" spans="19:19" x14ac:dyDescent="0.25">
      <c r="S349" t="e">
        <v>#N/A</v>
      </c>
    </row>
    <row r="350" spans="19:19" x14ac:dyDescent="0.25">
      <c r="S350" t="e">
        <v>#N/A</v>
      </c>
    </row>
    <row r="351" spans="19:19" x14ac:dyDescent="0.25">
      <c r="S351" t="e">
        <v>#N/A</v>
      </c>
    </row>
    <row r="352" spans="19:19" x14ac:dyDescent="0.25">
      <c r="S352" t="e">
        <v>#N/A</v>
      </c>
    </row>
    <row r="353" spans="19:19" x14ac:dyDescent="0.25">
      <c r="S353" t="e">
        <v>#N/A</v>
      </c>
    </row>
    <row r="354" spans="19:19" x14ac:dyDescent="0.25">
      <c r="S354" t="e">
        <v>#N/A</v>
      </c>
    </row>
    <row r="355" spans="19:19" x14ac:dyDescent="0.25">
      <c r="S355" t="e">
        <v>#N/A</v>
      </c>
    </row>
    <row r="356" spans="19:19" x14ac:dyDescent="0.25">
      <c r="S356" t="e">
        <v>#N/A</v>
      </c>
    </row>
    <row r="357" spans="19:19" x14ac:dyDescent="0.25">
      <c r="S357" t="e">
        <v>#N/A</v>
      </c>
    </row>
    <row r="358" spans="19:19" x14ac:dyDescent="0.25">
      <c r="S358" t="e">
        <v>#N/A</v>
      </c>
    </row>
    <row r="359" spans="19:19" x14ac:dyDescent="0.25">
      <c r="S359" t="e">
        <v>#N/A</v>
      </c>
    </row>
    <row r="360" spans="19:19" x14ac:dyDescent="0.25">
      <c r="S360" t="e">
        <v>#N/A</v>
      </c>
    </row>
    <row r="361" spans="19:19" x14ac:dyDescent="0.25">
      <c r="S361" t="e">
        <v>#N/A</v>
      </c>
    </row>
    <row r="362" spans="19:19" x14ac:dyDescent="0.25">
      <c r="S362" t="e">
        <v>#N/A</v>
      </c>
    </row>
    <row r="363" spans="19:19" x14ac:dyDescent="0.25">
      <c r="S363" t="e">
        <v>#N/A</v>
      </c>
    </row>
    <row r="364" spans="19:19" x14ac:dyDescent="0.25">
      <c r="S364" t="e">
        <v>#N/A</v>
      </c>
    </row>
    <row r="365" spans="19:19" x14ac:dyDescent="0.25">
      <c r="S365" t="e">
        <v>#N/A</v>
      </c>
    </row>
    <row r="366" spans="19:19" x14ac:dyDescent="0.25">
      <c r="S366" t="e">
        <v>#N/A</v>
      </c>
    </row>
    <row r="367" spans="19:19" x14ac:dyDescent="0.25">
      <c r="S367" t="e">
        <v>#N/A</v>
      </c>
    </row>
    <row r="368" spans="19:19" x14ac:dyDescent="0.25">
      <c r="S368" t="e">
        <v>#N/A</v>
      </c>
    </row>
    <row r="369" spans="19:19" x14ac:dyDescent="0.25">
      <c r="S369" t="e">
        <v>#N/A</v>
      </c>
    </row>
    <row r="370" spans="19:19" x14ac:dyDescent="0.25">
      <c r="S370" t="e">
        <v>#N/A</v>
      </c>
    </row>
    <row r="371" spans="19:19" x14ac:dyDescent="0.25">
      <c r="S371" t="e">
        <v>#N/A</v>
      </c>
    </row>
    <row r="372" spans="19:19" x14ac:dyDescent="0.25">
      <c r="S372" t="e">
        <v>#N/A</v>
      </c>
    </row>
    <row r="373" spans="19:19" x14ac:dyDescent="0.25">
      <c r="S373" t="e">
        <v>#N/A</v>
      </c>
    </row>
    <row r="374" spans="19:19" x14ac:dyDescent="0.25">
      <c r="S374" t="e">
        <v>#N/A</v>
      </c>
    </row>
    <row r="375" spans="19:19" x14ac:dyDescent="0.25">
      <c r="S375" t="e">
        <v>#N/A</v>
      </c>
    </row>
    <row r="376" spans="19:19" x14ac:dyDescent="0.25">
      <c r="S376" t="e">
        <v>#N/A</v>
      </c>
    </row>
    <row r="377" spans="19:19" x14ac:dyDescent="0.25">
      <c r="S377" t="e">
        <v>#N/A</v>
      </c>
    </row>
    <row r="378" spans="19:19" x14ac:dyDescent="0.25">
      <c r="S378" t="e">
        <v>#N/A</v>
      </c>
    </row>
    <row r="379" spans="19:19" x14ac:dyDescent="0.25">
      <c r="S379" t="e">
        <v>#N/A</v>
      </c>
    </row>
    <row r="380" spans="19:19" x14ac:dyDescent="0.25">
      <c r="S380" t="e">
        <v>#N/A</v>
      </c>
    </row>
    <row r="381" spans="19:19" x14ac:dyDescent="0.25">
      <c r="S381" t="e">
        <v>#N/A</v>
      </c>
    </row>
    <row r="382" spans="19:19" x14ac:dyDescent="0.25">
      <c r="S382" t="e">
        <v>#N/A</v>
      </c>
    </row>
    <row r="383" spans="19:19" x14ac:dyDescent="0.25">
      <c r="S383" t="e">
        <v>#N/A</v>
      </c>
    </row>
    <row r="384" spans="19:19" x14ac:dyDescent="0.25">
      <c r="S384" t="e">
        <v>#N/A</v>
      </c>
    </row>
    <row r="385" spans="19:19" x14ac:dyDescent="0.25">
      <c r="S385" t="e">
        <v>#N/A</v>
      </c>
    </row>
    <row r="386" spans="19:19" x14ac:dyDescent="0.25">
      <c r="S386" t="e">
        <v>#N/A</v>
      </c>
    </row>
    <row r="387" spans="19:19" x14ac:dyDescent="0.25">
      <c r="S387" t="e">
        <v>#N/A</v>
      </c>
    </row>
    <row r="388" spans="19:19" x14ac:dyDescent="0.25">
      <c r="S388" t="e">
        <v>#N/A</v>
      </c>
    </row>
    <row r="389" spans="19:19" x14ac:dyDescent="0.25">
      <c r="S389" t="e">
        <v>#N/A</v>
      </c>
    </row>
    <row r="390" spans="19:19" x14ac:dyDescent="0.25">
      <c r="S390" t="e">
        <v>#N/A</v>
      </c>
    </row>
    <row r="391" spans="19:19" x14ac:dyDescent="0.25">
      <c r="S391" t="e">
        <v>#N/A</v>
      </c>
    </row>
    <row r="392" spans="19:19" x14ac:dyDescent="0.25">
      <c r="S392" t="e">
        <v>#N/A</v>
      </c>
    </row>
    <row r="393" spans="19:19" x14ac:dyDescent="0.25">
      <c r="S393" t="e">
        <v>#N/A</v>
      </c>
    </row>
    <row r="394" spans="19:19" x14ac:dyDescent="0.25">
      <c r="S394" t="e">
        <v>#N/A</v>
      </c>
    </row>
    <row r="395" spans="19:19" x14ac:dyDescent="0.25">
      <c r="S395" t="e">
        <v>#N/A</v>
      </c>
    </row>
    <row r="396" spans="19:19" x14ac:dyDescent="0.25">
      <c r="S396" t="e">
        <v>#N/A</v>
      </c>
    </row>
    <row r="397" spans="19:19" x14ac:dyDescent="0.25">
      <c r="S397" t="e">
        <v>#N/A</v>
      </c>
    </row>
    <row r="398" spans="19:19" x14ac:dyDescent="0.25">
      <c r="S398" t="e">
        <v>#N/A</v>
      </c>
    </row>
    <row r="399" spans="19:19" x14ac:dyDescent="0.25">
      <c r="S399" t="e">
        <v>#N/A</v>
      </c>
    </row>
    <row r="400" spans="19:19" x14ac:dyDescent="0.25">
      <c r="S400" t="e">
        <v>#N/A</v>
      </c>
    </row>
    <row r="401" spans="19:19" x14ac:dyDescent="0.25">
      <c r="S401" t="e">
        <v>#N/A</v>
      </c>
    </row>
    <row r="402" spans="19:19" x14ac:dyDescent="0.25">
      <c r="S402" t="e">
        <v>#N/A</v>
      </c>
    </row>
    <row r="403" spans="19:19" x14ac:dyDescent="0.25">
      <c r="S403" t="e">
        <v>#N/A</v>
      </c>
    </row>
    <row r="404" spans="19:19" x14ac:dyDescent="0.25">
      <c r="S404" t="e">
        <v>#N/A</v>
      </c>
    </row>
    <row r="405" spans="19:19" x14ac:dyDescent="0.25">
      <c r="S405" t="e">
        <v>#N/A</v>
      </c>
    </row>
    <row r="406" spans="19:19" x14ac:dyDescent="0.25">
      <c r="S406" t="e">
        <v>#N/A</v>
      </c>
    </row>
    <row r="407" spans="19:19" x14ac:dyDescent="0.25">
      <c r="S407" t="e">
        <v>#N/A</v>
      </c>
    </row>
    <row r="408" spans="19:19" x14ac:dyDescent="0.25">
      <c r="S408" t="e">
        <v>#N/A</v>
      </c>
    </row>
    <row r="409" spans="19:19" x14ac:dyDescent="0.25">
      <c r="S409" t="e">
        <v>#N/A</v>
      </c>
    </row>
    <row r="410" spans="19:19" x14ac:dyDescent="0.25">
      <c r="S410" t="e">
        <v>#N/A</v>
      </c>
    </row>
    <row r="411" spans="19:19" x14ac:dyDescent="0.25">
      <c r="S411" t="e">
        <v>#N/A</v>
      </c>
    </row>
    <row r="412" spans="19:19" x14ac:dyDescent="0.25">
      <c r="S412" t="e">
        <v>#N/A</v>
      </c>
    </row>
    <row r="413" spans="19:19" x14ac:dyDescent="0.25">
      <c r="S413" t="e">
        <v>#N/A</v>
      </c>
    </row>
    <row r="414" spans="19:19" x14ac:dyDescent="0.25">
      <c r="S414" t="e">
        <v>#N/A</v>
      </c>
    </row>
    <row r="415" spans="19:19" x14ac:dyDescent="0.25">
      <c r="S415" t="e">
        <v>#N/A</v>
      </c>
    </row>
    <row r="416" spans="19:19" x14ac:dyDescent="0.25">
      <c r="S416" t="e">
        <v>#N/A</v>
      </c>
    </row>
    <row r="417" spans="19:19" x14ac:dyDescent="0.25">
      <c r="S417" t="e">
        <v>#N/A</v>
      </c>
    </row>
    <row r="418" spans="19:19" x14ac:dyDescent="0.25">
      <c r="S418" t="e">
        <v>#N/A</v>
      </c>
    </row>
    <row r="419" spans="19:19" x14ac:dyDescent="0.25">
      <c r="S419" t="e">
        <v>#N/A</v>
      </c>
    </row>
    <row r="420" spans="19:19" x14ac:dyDescent="0.25">
      <c r="S420" t="e">
        <v>#N/A</v>
      </c>
    </row>
    <row r="421" spans="19:19" x14ac:dyDescent="0.25">
      <c r="S421" t="e">
        <v>#N/A</v>
      </c>
    </row>
    <row r="422" spans="19:19" x14ac:dyDescent="0.25">
      <c r="S422" t="e">
        <v>#N/A</v>
      </c>
    </row>
    <row r="423" spans="19:19" x14ac:dyDescent="0.25">
      <c r="S423" t="e">
        <v>#N/A</v>
      </c>
    </row>
    <row r="424" spans="19:19" x14ac:dyDescent="0.25">
      <c r="S424" t="e">
        <v>#N/A</v>
      </c>
    </row>
    <row r="425" spans="19:19" x14ac:dyDescent="0.25">
      <c r="S425" t="e">
        <v>#N/A</v>
      </c>
    </row>
    <row r="426" spans="19:19" x14ac:dyDescent="0.25">
      <c r="S426" t="e">
        <v>#N/A</v>
      </c>
    </row>
    <row r="427" spans="19:19" x14ac:dyDescent="0.25">
      <c r="S427" t="e">
        <v>#N/A</v>
      </c>
    </row>
    <row r="428" spans="19:19" x14ac:dyDescent="0.25">
      <c r="S428" t="e">
        <v>#N/A</v>
      </c>
    </row>
    <row r="429" spans="19:19" x14ac:dyDescent="0.25">
      <c r="S429" t="e">
        <v>#N/A</v>
      </c>
    </row>
    <row r="430" spans="19:19" x14ac:dyDescent="0.25">
      <c r="S430" t="e">
        <v>#N/A</v>
      </c>
    </row>
    <row r="431" spans="19:19" x14ac:dyDescent="0.25">
      <c r="S431" t="e">
        <v>#N/A</v>
      </c>
    </row>
    <row r="432" spans="19:19" x14ac:dyDescent="0.25">
      <c r="S432" t="e">
        <v>#N/A</v>
      </c>
    </row>
    <row r="433" spans="19:19" x14ac:dyDescent="0.25">
      <c r="S433" t="e">
        <v>#N/A</v>
      </c>
    </row>
    <row r="434" spans="19:19" x14ac:dyDescent="0.25">
      <c r="S434" t="e">
        <v>#N/A</v>
      </c>
    </row>
    <row r="435" spans="19:19" x14ac:dyDescent="0.25">
      <c r="S435" t="e">
        <v>#N/A</v>
      </c>
    </row>
    <row r="436" spans="19:19" x14ac:dyDescent="0.25">
      <c r="S436" t="e">
        <v>#N/A</v>
      </c>
    </row>
    <row r="437" spans="19:19" x14ac:dyDescent="0.25">
      <c r="S437" t="e">
        <v>#N/A</v>
      </c>
    </row>
    <row r="438" spans="19:19" x14ac:dyDescent="0.25">
      <c r="S438" t="e">
        <v>#N/A</v>
      </c>
    </row>
    <row r="439" spans="19:19" x14ac:dyDescent="0.25">
      <c r="S439" t="e">
        <v>#N/A</v>
      </c>
    </row>
    <row r="440" spans="19:19" x14ac:dyDescent="0.25">
      <c r="S440" t="e">
        <v>#N/A</v>
      </c>
    </row>
    <row r="441" spans="19:19" x14ac:dyDescent="0.25">
      <c r="S441" t="e">
        <v>#N/A</v>
      </c>
    </row>
    <row r="442" spans="19:19" x14ac:dyDescent="0.25">
      <c r="S442" t="e">
        <v>#N/A</v>
      </c>
    </row>
    <row r="443" spans="19:19" x14ac:dyDescent="0.25">
      <c r="S443" t="e">
        <v>#N/A</v>
      </c>
    </row>
    <row r="444" spans="19:19" x14ac:dyDescent="0.25">
      <c r="S444" t="e">
        <v>#N/A</v>
      </c>
    </row>
    <row r="445" spans="19:19" x14ac:dyDescent="0.25">
      <c r="S445" t="e">
        <v>#N/A</v>
      </c>
    </row>
    <row r="446" spans="19:19" x14ac:dyDescent="0.25">
      <c r="S446" t="e">
        <v>#N/A</v>
      </c>
    </row>
    <row r="447" spans="19:19" x14ac:dyDescent="0.25">
      <c r="S447" t="e">
        <v>#N/A</v>
      </c>
    </row>
    <row r="448" spans="19:19" x14ac:dyDescent="0.25">
      <c r="S448" t="e">
        <v>#N/A</v>
      </c>
    </row>
    <row r="449" spans="19:19" x14ac:dyDescent="0.25">
      <c r="S449" t="e">
        <v>#N/A</v>
      </c>
    </row>
    <row r="450" spans="19:19" x14ac:dyDescent="0.25">
      <c r="S450" t="e">
        <v>#N/A</v>
      </c>
    </row>
    <row r="451" spans="19:19" x14ac:dyDescent="0.25">
      <c r="S451" t="e">
        <v>#N/A</v>
      </c>
    </row>
    <row r="452" spans="19:19" x14ac:dyDescent="0.25">
      <c r="S452" t="e">
        <v>#N/A</v>
      </c>
    </row>
    <row r="453" spans="19:19" x14ac:dyDescent="0.25">
      <c r="S453" t="e">
        <v>#N/A</v>
      </c>
    </row>
    <row r="454" spans="19:19" x14ac:dyDescent="0.25">
      <c r="S454" t="e">
        <v>#N/A</v>
      </c>
    </row>
    <row r="455" spans="19:19" x14ac:dyDescent="0.25">
      <c r="S455" t="e">
        <v>#N/A</v>
      </c>
    </row>
    <row r="456" spans="19:19" x14ac:dyDescent="0.25">
      <c r="S456" t="e">
        <v>#N/A</v>
      </c>
    </row>
    <row r="457" spans="19:19" x14ac:dyDescent="0.25">
      <c r="S457" t="e">
        <v>#N/A</v>
      </c>
    </row>
    <row r="458" spans="19:19" x14ac:dyDescent="0.25">
      <c r="S458" t="e">
        <v>#N/A</v>
      </c>
    </row>
    <row r="459" spans="19:19" x14ac:dyDescent="0.25">
      <c r="S459" t="e">
        <v>#N/A</v>
      </c>
    </row>
    <row r="460" spans="19:19" x14ac:dyDescent="0.25">
      <c r="S460" t="e">
        <v>#N/A</v>
      </c>
    </row>
    <row r="461" spans="19:19" x14ac:dyDescent="0.25">
      <c r="S461" t="e">
        <v>#N/A</v>
      </c>
    </row>
    <row r="462" spans="19:19" x14ac:dyDescent="0.25">
      <c r="S462" t="e">
        <v>#N/A</v>
      </c>
    </row>
    <row r="463" spans="19:19" x14ac:dyDescent="0.25">
      <c r="S463" t="e">
        <v>#N/A</v>
      </c>
    </row>
    <row r="464" spans="19:19" x14ac:dyDescent="0.25">
      <c r="S464" t="e">
        <v>#N/A</v>
      </c>
    </row>
    <row r="465" spans="19:19" x14ac:dyDescent="0.25">
      <c r="S465" t="e">
        <v>#N/A</v>
      </c>
    </row>
    <row r="466" spans="19:19" x14ac:dyDescent="0.25">
      <c r="S466" t="e">
        <v>#N/A</v>
      </c>
    </row>
    <row r="467" spans="19:19" x14ac:dyDescent="0.25">
      <c r="S467" t="e">
        <v>#N/A</v>
      </c>
    </row>
    <row r="468" spans="19:19" x14ac:dyDescent="0.25">
      <c r="S468" t="e">
        <v>#N/A</v>
      </c>
    </row>
    <row r="469" spans="19:19" x14ac:dyDescent="0.25">
      <c r="S469" t="e">
        <v>#N/A</v>
      </c>
    </row>
    <row r="470" spans="19:19" x14ac:dyDescent="0.25">
      <c r="S470" t="e">
        <v>#N/A</v>
      </c>
    </row>
    <row r="471" spans="19:19" x14ac:dyDescent="0.25">
      <c r="S471" t="e">
        <v>#N/A</v>
      </c>
    </row>
    <row r="472" spans="19:19" x14ac:dyDescent="0.25">
      <c r="S472" t="e">
        <v>#N/A</v>
      </c>
    </row>
    <row r="473" spans="19:19" x14ac:dyDescent="0.25">
      <c r="S473" t="e">
        <v>#N/A</v>
      </c>
    </row>
    <row r="474" spans="19:19" x14ac:dyDescent="0.25">
      <c r="S474" t="e">
        <v>#N/A</v>
      </c>
    </row>
    <row r="475" spans="19:19" x14ac:dyDescent="0.25">
      <c r="S475" t="e">
        <v>#N/A</v>
      </c>
    </row>
    <row r="476" spans="19:19" x14ac:dyDescent="0.25">
      <c r="S476" t="e">
        <v>#N/A</v>
      </c>
    </row>
    <row r="477" spans="19:19" x14ac:dyDescent="0.25">
      <c r="S477" t="e">
        <v>#N/A</v>
      </c>
    </row>
    <row r="478" spans="19:19" x14ac:dyDescent="0.25">
      <c r="S478" t="e">
        <v>#N/A</v>
      </c>
    </row>
    <row r="479" spans="19:19" x14ac:dyDescent="0.25">
      <c r="S479" t="e">
        <v>#N/A</v>
      </c>
    </row>
    <row r="480" spans="19:19" x14ac:dyDescent="0.25">
      <c r="S480" t="e">
        <v>#N/A</v>
      </c>
    </row>
    <row r="481" spans="19:19" x14ac:dyDescent="0.25">
      <c r="S481" t="e">
        <v>#N/A</v>
      </c>
    </row>
    <row r="482" spans="19:19" x14ac:dyDescent="0.25">
      <c r="S482" t="e">
        <v>#N/A</v>
      </c>
    </row>
    <row r="483" spans="19:19" x14ac:dyDescent="0.25">
      <c r="S483" t="e">
        <v>#N/A</v>
      </c>
    </row>
    <row r="484" spans="19:19" x14ac:dyDescent="0.25">
      <c r="S484" t="e">
        <v>#N/A</v>
      </c>
    </row>
    <row r="485" spans="19:19" x14ac:dyDescent="0.25">
      <c r="S485" t="e">
        <v>#N/A</v>
      </c>
    </row>
    <row r="486" spans="19:19" x14ac:dyDescent="0.25">
      <c r="S486" t="e">
        <v>#N/A</v>
      </c>
    </row>
    <row r="487" spans="19:19" x14ac:dyDescent="0.25">
      <c r="S487" t="e">
        <v>#N/A</v>
      </c>
    </row>
    <row r="488" spans="19:19" x14ac:dyDescent="0.25">
      <c r="S488" t="e">
        <v>#N/A</v>
      </c>
    </row>
    <row r="489" spans="19:19" x14ac:dyDescent="0.25">
      <c r="S489" t="e">
        <v>#N/A</v>
      </c>
    </row>
    <row r="490" spans="19:19" x14ac:dyDescent="0.25">
      <c r="S490" t="e">
        <v>#N/A</v>
      </c>
    </row>
    <row r="491" spans="19:19" x14ac:dyDescent="0.25">
      <c r="S491" t="e">
        <v>#N/A</v>
      </c>
    </row>
    <row r="492" spans="19:19" x14ac:dyDescent="0.25">
      <c r="S492" t="e">
        <v>#N/A</v>
      </c>
    </row>
    <row r="493" spans="19:19" x14ac:dyDescent="0.25">
      <c r="S493" t="e">
        <v>#N/A</v>
      </c>
    </row>
    <row r="494" spans="19:19" x14ac:dyDescent="0.25">
      <c r="S494" t="e">
        <v>#N/A</v>
      </c>
    </row>
    <row r="495" spans="19:19" x14ac:dyDescent="0.25">
      <c r="S495" t="e">
        <v>#N/A</v>
      </c>
    </row>
    <row r="496" spans="19:19" x14ac:dyDescent="0.25">
      <c r="S496" t="e">
        <v>#N/A</v>
      </c>
    </row>
    <row r="497" spans="19:19" x14ac:dyDescent="0.25">
      <c r="S497" t="e">
        <v>#N/A</v>
      </c>
    </row>
    <row r="498" spans="19:19" x14ac:dyDescent="0.25">
      <c r="S498" t="e">
        <v>#N/A</v>
      </c>
    </row>
    <row r="499" spans="19:19" x14ac:dyDescent="0.25">
      <c r="S499" t="e">
        <v>#N/A</v>
      </c>
    </row>
    <row r="500" spans="19:19" x14ac:dyDescent="0.25">
      <c r="S500" t="e">
        <v>#N/A</v>
      </c>
    </row>
    <row r="501" spans="19:19" x14ac:dyDescent="0.25">
      <c r="S501" t="e">
        <v>#N/A</v>
      </c>
    </row>
    <row r="502" spans="19:19" x14ac:dyDescent="0.25">
      <c r="S502" t="e">
        <v>#N/A</v>
      </c>
    </row>
    <row r="503" spans="19:19" x14ac:dyDescent="0.25">
      <c r="S503" t="e">
        <v>#N/A</v>
      </c>
    </row>
    <row r="504" spans="19:19" x14ac:dyDescent="0.25">
      <c r="S504" t="e">
        <v>#N/A</v>
      </c>
    </row>
    <row r="505" spans="19:19" x14ac:dyDescent="0.25">
      <c r="S505" t="e">
        <v>#N/A</v>
      </c>
    </row>
    <row r="506" spans="19:19" x14ac:dyDescent="0.25">
      <c r="S506" t="e">
        <v>#N/A</v>
      </c>
    </row>
    <row r="507" spans="19:19" x14ac:dyDescent="0.25">
      <c r="S507" t="e">
        <v>#N/A</v>
      </c>
    </row>
    <row r="508" spans="19:19" x14ac:dyDescent="0.25">
      <c r="S508" t="e">
        <v>#N/A</v>
      </c>
    </row>
    <row r="509" spans="19:19" x14ac:dyDescent="0.25">
      <c r="S509" t="e">
        <v>#N/A</v>
      </c>
    </row>
    <row r="510" spans="19:19" x14ac:dyDescent="0.25">
      <c r="S510" t="e">
        <v>#N/A</v>
      </c>
    </row>
    <row r="511" spans="19:19" x14ac:dyDescent="0.25">
      <c r="S511" t="e">
        <v>#N/A</v>
      </c>
    </row>
    <row r="512" spans="19:19" x14ac:dyDescent="0.25">
      <c r="S512" t="e">
        <v>#N/A</v>
      </c>
    </row>
    <row r="513" spans="19:19" x14ac:dyDescent="0.25">
      <c r="S513" t="e">
        <v>#N/A</v>
      </c>
    </row>
    <row r="514" spans="19:19" x14ac:dyDescent="0.25">
      <c r="S514" t="e">
        <v>#N/A</v>
      </c>
    </row>
    <row r="515" spans="19:19" x14ac:dyDescent="0.25">
      <c r="S515" t="e">
        <v>#N/A</v>
      </c>
    </row>
    <row r="516" spans="19:19" x14ac:dyDescent="0.25">
      <c r="S516" t="e">
        <v>#N/A</v>
      </c>
    </row>
    <row r="517" spans="19:19" x14ac:dyDescent="0.25">
      <c r="S517" t="e">
        <v>#N/A</v>
      </c>
    </row>
    <row r="518" spans="19:19" x14ac:dyDescent="0.25">
      <c r="S518" t="e">
        <v>#N/A</v>
      </c>
    </row>
    <row r="519" spans="19:19" x14ac:dyDescent="0.25">
      <c r="S519" t="e">
        <v>#N/A</v>
      </c>
    </row>
    <row r="520" spans="19:19" x14ac:dyDescent="0.25">
      <c r="S520" t="e">
        <v>#N/A</v>
      </c>
    </row>
    <row r="521" spans="19:19" x14ac:dyDescent="0.25">
      <c r="S521" t="e">
        <v>#N/A</v>
      </c>
    </row>
    <row r="522" spans="19:19" x14ac:dyDescent="0.25">
      <c r="S522" t="e">
        <v>#N/A</v>
      </c>
    </row>
    <row r="523" spans="19:19" x14ac:dyDescent="0.25">
      <c r="S523" t="e">
        <v>#N/A</v>
      </c>
    </row>
    <row r="524" spans="19:19" x14ac:dyDescent="0.25">
      <c r="S524" t="e">
        <v>#N/A</v>
      </c>
    </row>
    <row r="525" spans="19:19" x14ac:dyDescent="0.25">
      <c r="S525" t="e">
        <v>#N/A</v>
      </c>
    </row>
    <row r="526" spans="19:19" x14ac:dyDescent="0.25">
      <c r="S526" t="e">
        <v>#N/A</v>
      </c>
    </row>
    <row r="527" spans="19:19" x14ac:dyDescent="0.25">
      <c r="S527" t="e">
        <v>#N/A</v>
      </c>
    </row>
    <row r="528" spans="19:19" x14ac:dyDescent="0.25">
      <c r="S528" t="e">
        <v>#N/A</v>
      </c>
    </row>
    <row r="529" spans="19:19" x14ac:dyDescent="0.25">
      <c r="S529" t="e">
        <v>#N/A</v>
      </c>
    </row>
    <row r="530" spans="19:19" x14ac:dyDescent="0.25">
      <c r="S530" t="e">
        <v>#N/A</v>
      </c>
    </row>
    <row r="531" spans="19:19" x14ac:dyDescent="0.25">
      <c r="S531" t="e">
        <v>#N/A</v>
      </c>
    </row>
    <row r="532" spans="19:19" x14ac:dyDescent="0.25">
      <c r="S532" t="e">
        <v>#N/A</v>
      </c>
    </row>
    <row r="533" spans="19:19" x14ac:dyDescent="0.25">
      <c r="S533" t="e">
        <v>#N/A</v>
      </c>
    </row>
    <row r="534" spans="19:19" x14ac:dyDescent="0.25">
      <c r="S534" t="e">
        <v>#N/A</v>
      </c>
    </row>
    <row r="535" spans="19:19" x14ac:dyDescent="0.25">
      <c r="S535" t="e">
        <v>#N/A</v>
      </c>
    </row>
    <row r="536" spans="19:19" x14ac:dyDescent="0.25">
      <c r="S536" t="e">
        <v>#N/A</v>
      </c>
    </row>
    <row r="537" spans="19:19" x14ac:dyDescent="0.25">
      <c r="S537" t="e">
        <v>#N/A</v>
      </c>
    </row>
    <row r="538" spans="19:19" x14ac:dyDescent="0.25">
      <c r="S538" t="e">
        <v>#N/A</v>
      </c>
    </row>
    <row r="539" spans="19:19" x14ac:dyDescent="0.25">
      <c r="S539" t="e">
        <v>#N/A</v>
      </c>
    </row>
    <row r="540" spans="19:19" x14ac:dyDescent="0.25">
      <c r="S540" t="e">
        <v>#N/A</v>
      </c>
    </row>
    <row r="541" spans="19:19" x14ac:dyDescent="0.25">
      <c r="S541" t="e">
        <v>#N/A</v>
      </c>
    </row>
    <row r="542" spans="19:19" x14ac:dyDescent="0.25">
      <c r="S542" t="e">
        <v>#N/A</v>
      </c>
    </row>
    <row r="543" spans="19:19" x14ac:dyDescent="0.25">
      <c r="S543" t="e">
        <v>#N/A</v>
      </c>
    </row>
    <row r="544" spans="19:19" x14ac:dyDescent="0.25">
      <c r="S544" t="e">
        <v>#N/A</v>
      </c>
    </row>
    <row r="545" spans="19:19" x14ac:dyDescent="0.25">
      <c r="S545" t="e">
        <v>#N/A</v>
      </c>
    </row>
    <row r="546" spans="19:19" x14ac:dyDescent="0.25">
      <c r="S546" t="e">
        <v>#N/A</v>
      </c>
    </row>
    <row r="547" spans="19:19" x14ac:dyDescent="0.25">
      <c r="S547" t="e">
        <v>#N/A</v>
      </c>
    </row>
    <row r="548" spans="19:19" x14ac:dyDescent="0.25">
      <c r="S548" t="e">
        <v>#N/A</v>
      </c>
    </row>
    <row r="549" spans="19:19" x14ac:dyDescent="0.25">
      <c r="S549" t="e">
        <v>#N/A</v>
      </c>
    </row>
    <row r="550" spans="19:19" x14ac:dyDescent="0.25">
      <c r="S550" t="e">
        <v>#N/A</v>
      </c>
    </row>
    <row r="551" spans="19:19" x14ac:dyDescent="0.25">
      <c r="S551" t="e">
        <v>#N/A</v>
      </c>
    </row>
    <row r="552" spans="19:19" x14ac:dyDescent="0.25">
      <c r="S552" t="e">
        <v>#N/A</v>
      </c>
    </row>
    <row r="553" spans="19:19" x14ac:dyDescent="0.25">
      <c r="S553" t="e">
        <v>#N/A</v>
      </c>
    </row>
    <row r="554" spans="19:19" x14ac:dyDescent="0.25">
      <c r="S554" t="e">
        <v>#N/A</v>
      </c>
    </row>
    <row r="555" spans="19:19" x14ac:dyDescent="0.25">
      <c r="S555" t="e">
        <v>#N/A</v>
      </c>
    </row>
    <row r="556" spans="19:19" x14ac:dyDescent="0.25">
      <c r="S556" t="e">
        <v>#N/A</v>
      </c>
    </row>
    <row r="557" spans="19:19" x14ac:dyDescent="0.25">
      <c r="S557" t="e">
        <v>#N/A</v>
      </c>
    </row>
    <row r="558" spans="19:19" x14ac:dyDescent="0.25">
      <c r="S558" t="e">
        <v>#N/A</v>
      </c>
    </row>
    <row r="559" spans="19:19" x14ac:dyDescent="0.25">
      <c r="S559" t="e">
        <v>#N/A</v>
      </c>
    </row>
    <row r="560" spans="19:19" x14ac:dyDescent="0.25">
      <c r="S560" t="e">
        <v>#N/A</v>
      </c>
    </row>
    <row r="561" spans="19:19" x14ac:dyDescent="0.25">
      <c r="S561" t="e">
        <v>#N/A</v>
      </c>
    </row>
    <row r="562" spans="19:19" x14ac:dyDescent="0.25">
      <c r="S562" t="e">
        <v>#N/A</v>
      </c>
    </row>
    <row r="563" spans="19:19" x14ac:dyDescent="0.25">
      <c r="S563" t="e">
        <v>#N/A</v>
      </c>
    </row>
    <row r="564" spans="19:19" x14ac:dyDescent="0.25">
      <c r="S564" t="e">
        <v>#N/A</v>
      </c>
    </row>
    <row r="565" spans="19:19" x14ac:dyDescent="0.25">
      <c r="S565" t="e">
        <v>#N/A</v>
      </c>
    </row>
    <row r="566" spans="19:19" x14ac:dyDescent="0.25">
      <c r="S566" t="e">
        <v>#N/A</v>
      </c>
    </row>
    <row r="567" spans="19:19" x14ac:dyDescent="0.25">
      <c r="S567" t="e">
        <v>#N/A</v>
      </c>
    </row>
    <row r="568" spans="19:19" x14ac:dyDescent="0.25">
      <c r="S568" t="e">
        <v>#N/A</v>
      </c>
    </row>
    <row r="569" spans="19:19" x14ac:dyDescent="0.25">
      <c r="S569" t="e">
        <v>#N/A</v>
      </c>
    </row>
    <row r="570" spans="19:19" x14ac:dyDescent="0.25">
      <c r="S570" t="e">
        <v>#N/A</v>
      </c>
    </row>
    <row r="571" spans="19:19" x14ac:dyDescent="0.25">
      <c r="S571" t="e">
        <v>#N/A</v>
      </c>
    </row>
    <row r="572" spans="19:19" x14ac:dyDescent="0.25">
      <c r="S572" t="e">
        <v>#N/A</v>
      </c>
    </row>
    <row r="573" spans="19:19" x14ac:dyDescent="0.25">
      <c r="S573" t="e"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I151"/>
  <sheetViews>
    <sheetView topLeftCell="AS1" workbookViewId="0">
      <selection activeCell="AY21" sqref="AY21"/>
    </sheetView>
  </sheetViews>
  <sheetFormatPr defaultRowHeight="13.2" x14ac:dyDescent="0.25"/>
  <cols>
    <col min="1" max="1" width="10.77734375" style="3" bestFit="1" customWidth="1"/>
    <col min="2" max="2" width="11.77734375" style="3" bestFit="1" customWidth="1"/>
    <col min="3" max="5" width="9" style="3" customWidth="1"/>
    <col min="6" max="6" width="11.77734375" style="4" bestFit="1" customWidth="1"/>
    <col min="7" max="7" width="9.5546875" style="4" bestFit="1" customWidth="1"/>
    <col min="8" max="8" width="2" style="3" customWidth="1"/>
    <col min="9" max="9" width="9" style="3" customWidth="1"/>
    <col min="10" max="10" width="11.77734375" style="3" bestFit="1" customWidth="1"/>
    <col min="11" max="11" width="9" style="3" customWidth="1"/>
    <col min="12" max="12" width="11.77734375" style="4" bestFit="1" customWidth="1"/>
    <col min="13" max="13" width="9" style="4" bestFit="1" customWidth="1"/>
    <col min="14" max="14" width="2.21875" style="3" customWidth="1"/>
    <col min="15" max="17" width="9" style="3" customWidth="1"/>
    <col min="18" max="18" width="9" style="4" customWidth="1"/>
    <col min="19" max="19" width="9.77734375" style="4" bestFit="1" customWidth="1"/>
    <col min="20" max="20" width="9" style="2" customWidth="1"/>
    <col min="21" max="23" width="9" style="5" customWidth="1"/>
    <col min="24" max="25" width="9" style="6" customWidth="1"/>
    <col min="26" max="26" width="2.5546875" style="5" customWidth="1"/>
    <col min="27" max="29" width="9" style="5" customWidth="1"/>
    <col min="30" max="30" width="11.77734375" style="6" bestFit="1" customWidth="1"/>
    <col min="31" max="31" width="9.5546875" style="6" bestFit="1" customWidth="1"/>
    <col min="32" max="32" width="9" style="2" customWidth="1"/>
    <col min="33" max="35" width="9" style="7" customWidth="1"/>
    <col min="36" max="37" width="9" style="8" customWidth="1"/>
    <col min="38" max="38" width="2.5546875" style="7" customWidth="1"/>
    <col min="39" max="41" width="9" style="7" customWidth="1"/>
    <col min="42" max="42" width="11.77734375" style="8" bestFit="1" customWidth="1"/>
    <col min="43" max="43" width="9" style="8" customWidth="1"/>
    <col min="44" max="44" width="9" style="2" customWidth="1"/>
    <col min="45" max="46" width="9" style="9" customWidth="1"/>
    <col min="47" max="47" width="10.21875" style="9" bestFit="1" customWidth="1"/>
    <col min="48" max="48" width="11.21875" style="10" bestFit="1" customWidth="1"/>
    <col min="49" max="49" width="9.5546875" style="10" bestFit="1" customWidth="1"/>
    <col min="50" max="50" width="2.5546875" style="9" customWidth="1"/>
    <col min="51" max="52" width="9" style="9" customWidth="1"/>
    <col min="53" max="53" width="10.21875" style="9" bestFit="1" customWidth="1"/>
    <col min="54" max="54" width="16.21875" style="10" bestFit="1" customWidth="1"/>
    <col min="55" max="55" width="9" style="10" bestFit="1" customWidth="1"/>
    <col min="57" max="57" width="10" bestFit="1" customWidth="1"/>
    <col min="58" max="58" width="12.77734375" bestFit="1" customWidth="1"/>
  </cols>
  <sheetData>
    <row r="1" spans="1:61" x14ac:dyDescent="0.25">
      <c r="C1" s="3" t="s">
        <v>190</v>
      </c>
      <c r="D1" s="3" t="s">
        <v>35</v>
      </c>
      <c r="E1" s="3" t="s">
        <v>191</v>
      </c>
      <c r="F1" s="4" t="s">
        <v>192</v>
      </c>
      <c r="G1" s="4" t="s">
        <v>193</v>
      </c>
      <c r="I1" s="3" t="s">
        <v>194</v>
      </c>
      <c r="J1" s="3" t="s">
        <v>35</v>
      </c>
      <c r="K1" s="3" t="s">
        <v>191</v>
      </c>
      <c r="L1" s="4" t="s">
        <v>195</v>
      </c>
      <c r="M1" s="4" t="s">
        <v>196</v>
      </c>
      <c r="O1" s="3" t="s">
        <v>197</v>
      </c>
      <c r="P1" s="3" t="s">
        <v>35</v>
      </c>
      <c r="Q1" s="3" t="s">
        <v>191</v>
      </c>
      <c r="R1" s="4" t="s">
        <v>198</v>
      </c>
      <c r="S1" s="4" t="s">
        <v>199</v>
      </c>
      <c r="U1" s="5" t="s">
        <v>200</v>
      </c>
      <c r="V1" s="5" t="s">
        <v>37</v>
      </c>
      <c r="W1" s="5" t="s">
        <v>201</v>
      </c>
      <c r="X1" s="6" t="s">
        <v>202</v>
      </c>
      <c r="Y1" s="6" t="s">
        <v>203</v>
      </c>
      <c r="AA1" s="5" t="s">
        <v>204</v>
      </c>
      <c r="AB1" s="5" t="s">
        <v>37</v>
      </c>
      <c r="AC1" s="5" t="s">
        <v>201</v>
      </c>
      <c r="AD1" s="6" t="s">
        <v>205</v>
      </c>
      <c r="AE1" s="6" t="s">
        <v>206</v>
      </c>
      <c r="AG1" s="7" t="s">
        <v>207</v>
      </c>
      <c r="AH1" s="7" t="s">
        <v>39</v>
      </c>
      <c r="AI1" s="7" t="s">
        <v>208</v>
      </c>
      <c r="AJ1" s="8" t="s">
        <v>209</v>
      </c>
      <c r="AK1" s="8" t="s">
        <v>210</v>
      </c>
      <c r="AM1" s="7" t="s">
        <v>211</v>
      </c>
      <c r="AN1" s="7" t="s">
        <v>39</v>
      </c>
      <c r="AO1" s="7" t="s">
        <v>208</v>
      </c>
      <c r="AP1" s="8" t="s">
        <v>212</v>
      </c>
      <c r="AQ1" s="8" t="s">
        <v>213</v>
      </c>
      <c r="AS1" s="9" t="s">
        <v>214</v>
      </c>
      <c r="AT1" s="9" t="s">
        <v>41</v>
      </c>
      <c r="AU1" s="9" t="s">
        <v>215</v>
      </c>
      <c r="AV1" s="10" t="s">
        <v>216</v>
      </c>
      <c r="AW1" s="10" t="s">
        <v>217</v>
      </c>
      <c r="AY1" s="9" t="s">
        <v>218</v>
      </c>
      <c r="AZ1" s="9" t="s">
        <v>41</v>
      </c>
      <c r="BA1" s="9" t="s">
        <v>215</v>
      </c>
      <c r="BB1" s="10" t="s">
        <v>219</v>
      </c>
      <c r="BC1" s="10" t="s">
        <v>220</v>
      </c>
    </row>
    <row r="2" spans="1:61" x14ac:dyDescent="0.25">
      <c r="A2" s="3" t="s">
        <v>221</v>
      </c>
      <c r="B2" s="3" t="s">
        <v>222</v>
      </c>
      <c r="C2" s="3">
        <f>IF(ISNUMBER(SEARCH(#REF!,D2)),MAX($C$1:C1)+1,0)</f>
        <v>0</v>
      </c>
      <c r="D2" s="3" t="e">
        <f>#REF!</f>
        <v>#REF!</v>
      </c>
      <c r="E2" s="3" t="e">
        <f>#REF!</f>
        <v>#REF!</v>
      </c>
      <c r="F2" s="4" t="str">
        <f>IFERROR(VLOOKUP(ROWS($F$2:F2),$C$2:$E$151,2,FALSE),"")</f>
        <v/>
      </c>
      <c r="G2" s="4" t="str">
        <f>IFERROR(VLOOKUP(ROWS($F$2:F2),$C$2:$E$151,3,FALSE),"")</f>
        <v/>
      </c>
      <c r="I2" s="3">
        <f>IF(ISNUMBER(SEARCH(#REF!,J2)),MAX($I$1:I1)+1,0)</f>
        <v>0</v>
      </c>
      <c r="J2" s="3" t="e">
        <f>#REF!</f>
        <v>#REF!</v>
      </c>
      <c r="K2" s="3" t="e">
        <f>#REF!</f>
        <v>#REF!</v>
      </c>
      <c r="L2" s="4" t="str">
        <f>IFERROR(VLOOKUP(ROWS($L$2:L2),$I$2:$K$151,2,FALSE),"")</f>
        <v/>
      </c>
      <c r="M2" s="4" t="str">
        <f>IFERROR(VLOOKUP(ROWS($L$2:L2),$I$2:$K$151,3,FALSE),"")</f>
        <v/>
      </c>
      <c r="O2" s="3">
        <f>IF(ISNUMBER(SEARCH(#REF!,P2)),MAX($O$1:O1)+1,0)</f>
        <v>0</v>
      </c>
      <c r="P2" s="3" t="e">
        <f>#REF!</f>
        <v>#REF!</v>
      </c>
      <c r="Q2" s="3" t="e">
        <f>#REF!</f>
        <v>#REF!</v>
      </c>
      <c r="R2" s="4" t="str">
        <f>IFERROR(VLOOKUP(ROWS($R$2:R2),$O$2:$Q$151,2,FALSE),"")</f>
        <v/>
      </c>
      <c r="S2" s="4" t="str">
        <f>IFERROR(VLOOKUP(ROWS($R$2:R2),$O$2:$Q$151,3,FALSE),"")</f>
        <v/>
      </c>
      <c r="U2" s="5">
        <f>IF(ISNUMBER(SEARCH(#REF!,V2)),MAX($U$1:U1)+1,0)</f>
        <v>0</v>
      </c>
      <c r="V2" s="5" t="e">
        <f>#REF!</f>
        <v>#REF!</v>
      </c>
      <c r="W2" s="5" t="e">
        <f>#REF!</f>
        <v>#REF!</v>
      </c>
      <c r="X2" s="6" t="str">
        <f>IFERROR(VLOOKUP(ROWS($X$2:X2),$U$2:$W$151,2,FALSE),"")</f>
        <v/>
      </c>
      <c r="Y2" s="6" t="str">
        <f>IFERROR(VLOOKUP(ROWS($X$2:X2),$U$2:$W$151,3,FALSE),"")</f>
        <v/>
      </c>
      <c r="AA2" s="5">
        <f>IF(ISNUMBER(SEARCH(#REF!,AB2)),MAX($AA$1:AA1)+1,0)</f>
        <v>0</v>
      </c>
      <c r="AB2" s="5" t="e">
        <f>#REF!</f>
        <v>#REF!</v>
      </c>
      <c r="AC2" s="5" t="e">
        <f>#REF!</f>
        <v>#REF!</v>
      </c>
      <c r="AD2" s="6" t="str">
        <f>IFERROR(VLOOKUP(ROWS($AD$2:AD2),$AA$2:$AC$151,2,FALSE),"")</f>
        <v/>
      </c>
      <c r="AE2" s="6" t="str">
        <f>IFERROR(VLOOKUP(ROWS($AD$2:AD2),$AA$2:$AC$151,3,FALSE),"")</f>
        <v/>
      </c>
      <c r="AG2" s="7">
        <f>IF(ISNUMBER(SEARCH(#REF!,AH2)),MAX($AG$1:AG1)+1,0)</f>
        <v>0</v>
      </c>
      <c r="AH2" s="7" t="e">
        <f>#REF!</f>
        <v>#REF!</v>
      </c>
      <c r="AI2" s="7" t="e">
        <f>#REF!</f>
        <v>#REF!</v>
      </c>
      <c r="AJ2" s="8" t="str">
        <f>IFERROR(VLOOKUP(ROWS(AJ$2:AJ2),$AG$2:$AI$151,2,FALSE),"")</f>
        <v/>
      </c>
      <c r="AK2" s="8" t="str">
        <f>IFERROR(VLOOKUP(ROWS($AJ$2:AJ2),$AG$2:$AI$151,3,FALSE),"")</f>
        <v/>
      </c>
      <c r="AM2" s="7">
        <f>IF(ISNUMBER(SEARCH(#REF!,AN2)),MAX($AM$1:AM1)+1,0)</f>
        <v>0</v>
      </c>
      <c r="AN2" s="7" t="e">
        <f>#REF!</f>
        <v>#REF!</v>
      </c>
      <c r="AO2" s="7" t="e">
        <f>#REF!</f>
        <v>#REF!</v>
      </c>
      <c r="AP2" s="8" t="str">
        <f>IFERROR(VLOOKUP(ROWS($AP$2:AP2),$AM$2:$AO$151,2,FALSE),"")</f>
        <v/>
      </c>
      <c r="AQ2" s="8" t="str">
        <f>IFERROR(VLOOKUP(ROWS($AP$2:AP2),$AM$2:$AO$151,3,FALSE),"")</f>
        <v/>
      </c>
      <c r="AS2" s="9">
        <f>IF(ISNUMBER(SEARCH(#REF!,AT2)),MAX($AS$1:AS1)+1,0)</f>
        <v>0</v>
      </c>
      <c r="AT2" s="9" t="e">
        <f>#REF!</f>
        <v>#REF!</v>
      </c>
      <c r="AU2" s="9" t="e">
        <f>#REF!</f>
        <v>#REF!</v>
      </c>
      <c r="AV2" s="10" t="str">
        <f>IFERROR(VLOOKUP(ROWS(AV$2:AV2),$AS$2:$AU$151,2,FALSE),"")</f>
        <v/>
      </c>
      <c r="AW2" s="10" t="str">
        <f>IFERROR(VLOOKUP(ROWS($AV$2:AV2),$AS$2:$AU$151,3,FALSE),"")</f>
        <v/>
      </c>
      <c r="AY2" s="9">
        <f>IF(ISNUMBER(SEARCH(#REF!,AZ2)),MAX($AY$1:AY1)+1,0)</f>
        <v>0</v>
      </c>
      <c r="AZ2" s="9" t="e">
        <f>#REF!</f>
        <v>#REF!</v>
      </c>
      <c r="BA2" s="9" t="e">
        <f>#REF!</f>
        <v>#REF!</v>
      </c>
      <c r="BB2" s="10" t="str">
        <f>IFERROR(VLOOKUP(ROWS($BB$2:BB2),$AY$2:$BA$151,2,FALSE),"")</f>
        <v/>
      </c>
      <c r="BC2" s="10" t="str">
        <f>IFERROR(VLOOKUP(ROWS($BB$2:BB2),$AY$2:$BA$151,3,FALSE),"")</f>
        <v/>
      </c>
      <c r="BE2" t="s">
        <v>223</v>
      </c>
      <c r="BF2" t="s">
        <v>224</v>
      </c>
      <c r="BH2" t="s">
        <v>84</v>
      </c>
      <c r="BI2">
        <v>1</v>
      </c>
    </row>
    <row r="3" spans="1:61" x14ac:dyDescent="0.25">
      <c r="A3" s="3" t="s">
        <v>225</v>
      </c>
      <c r="B3" s="3" t="s">
        <v>226</v>
      </c>
      <c r="C3" s="3">
        <f>IF(ISNUMBER(SEARCH(#REF!,D3)),MAX($C$1:C2)+1,0)</f>
        <v>0</v>
      </c>
      <c r="D3" s="3" t="e">
        <f>#REF!</f>
        <v>#REF!</v>
      </c>
      <c r="E3" s="3" t="e">
        <f>#REF!</f>
        <v>#REF!</v>
      </c>
      <c r="F3" s="4" t="str">
        <f>IFERROR(VLOOKUP(ROWS($F$2:F3),$C$2:$E$151,2,FALSE),"")</f>
        <v/>
      </c>
      <c r="G3" s="4" t="str">
        <f>IFERROR(VLOOKUP(ROWS($F$2:F3),$C$2:$E$151,3,FALSE),"")</f>
        <v/>
      </c>
      <c r="I3" s="3">
        <f>IF(ISNUMBER(SEARCH(#REF!,J3)),MAX($I$1:I2)+1,0)</f>
        <v>0</v>
      </c>
      <c r="J3" s="3" t="e">
        <f>#REF!</f>
        <v>#REF!</v>
      </c>
      <c r="K3" s="3" t="e">
        <f>#REF!</f>
        <v>#REF!</v>
      </c>
      <c r="L3" s="4" t="str">
        <f>IFERROR(VLOOKUP(ROWS($L$2:L3),$I$2:$K$151,2,FALSE),"")</f>
        <v/>
      </c>
      <c r="M3" s="4" t="str">
        <f>IFERROR(VLOOKUP(ROWS($L$2:L3),$I$2:$K$151,3,FALSE),"")</f>
        <v/>
      </c>
      <c r="O3" s="3">
        <f>IF(ISNUMBER(SEARCH(#REF!,P3)),MAX($O$1:O2)+1,0)</f>
        <v>0</v>
      </c>
      <c r="P3" s="3" t="e">
        <f>#REF!</f>
        <v>#REF!</v>
      </c>
      <c r="Q3" s="3" t="e">
        <f>#REF!</f>
        <v>#REF!</v>
      </c>
      <c r="R3" s="4" t="str">
        <f>IFERROR(VLOOKUP(ROWS($R$2:R3),$O$2:$Q$151,2,FALSE),"")</f>
        <v/>
      </c>
      <c r="S3" s="4" t="str">
        <f>IFERROR(VLOOKUP(ROWS($R$2:R3),$O$2:$Q$151,3,FALSE),"")</f>
        <v/>
      </c>
      <c r="U3" s="5">
        <f>IF(ISNUMBER(SEARCH(#REF!,V3)),MAX($U$1:U2)+1,0)</f>
        <v>0</v>
      </c>
      <c r="V3" s="5" t="e">
        <f>#REF!</f>
        <v>#REF!</v>
      </c>
      <c r="W3" s="5" t="e">
        <f>#REF!</f>
        <v>#REF!</v>
      </c>
      <c r="X3" s="6" t="str">
        <f>IFERROR(VLOOKUP(ROWS($X$2:X3),$U$2:$W$151,2,FALSE),"")</f>
        <v/>
      </c>
      <c r="Y3" s="6" t="str">
        <f>IFERROR(VLOOKUP(ROWS($X$2:X3),$U$2:$W$151,3,FALSE),"")</f>
        <v/>
      </c>
      <c r="AA3" s="5">
        <f>IF(ISNUMBER(SEARCH(#REF!,AB3)),MAX($AA$1:AA2)+1,0)</f>
        <v>0</v>
      </c>
      <c r="AB3" s="5" t="e">
        <f>#REF!</f>
        <v>#REF!</v>
      </c>
      <c r="AC3" s="5" t="e">
        <f>#REF!</f>
        <v>#REF!</v>
      </c>
      <c r="AD3" s="6" t="str">
        <f>IFERROR(VLOOKUP(ROWS($AD$2:AD3),$AA$2:$AC$151,2,FALSE),"")</f>
        <v/>
      </c>
      <c r="AE3" s="6" t="str">
        <f>IFERROR(VLOOKUP(ROWS($AD$2:AD3),$AA$2:$AC$151,3,FALSE),"")</f>
        <v/>
      </c>
      <c r="AG3" s="7">
        <f>IF(ISNUMBER(SEARCH(#REF!,AH3)),MAX($AG$1:AG2)+1,0)</f>
        <v>0</v>
      </c>
      <c r="AH3" s="7" t="e">
        <f>#REF!</f>
        <v>#REF!</v>
      </c>
      <c r="AI3" s="7" t="e">
        <f>#REF!</f>
        <v>#REF!</v>
      </c>
      <c r="AJ3" s="8" t="str">
        <f>IFERROR(VLOOKUP(ROWS(AJ$2:AJ3),$AG$2:$AI$151,2,FALSE),"")</f>
        <v/>
      </c>
      <c r="AK3" s="8" t="str">
        <f>IFERROR(VLOOKUP(ROWS($AJ$2:AJ3),$AG$2:$AI$151,3,FALSE),"")</f>
        <v/>
      </c>
      <c r="AM3" s="7">
        <f>IF(ISNUMBER(SEARCH(#REF!,AN3)),MAX($AM$1:AM2)+1,0)</f>
        <v>0</v>
      </c>
      <c r="AN3" s="7" t="e">
        <f>#REF!</f>
        <v>#REF!</v>
      </c>
      <c r="AO3" s="7" t="e">
        <f>#REF!</f>
        <v>#REF!</v>
      </c>
      <c r="AP3" s="8" t="str">
        <f>IFERROR(VLOOKUP(ROWS($AP$2:AP3),$AM$2:$AO$151,2,FALSE),"")</f>
        <v/>
      </c>
      <c r="AQ3" s="8" t="str">
        <f>IFERROR(VLOOKUP(ROWS($AP$2:AP3),$AM$2:$AO$151,3,FALSE),"")</f>
        <v/>
      </c>
      <c r="AS3" s="9">
        <f>IF(ISNUMBER(SEARCH(#REF!,AT3)),MAX($AS$1:AS2)+1,0)</f>
        <v>0</v>
      </c>
      <c r="AT3" s="9" t="e">
        <f>#REF!</f>
        <v>#REF!</v>
      </c>
      <c r="AU3" s="9" t="e">
        <f>#REF!</f>
        <v>#REF!</v>
      </c>
      <c r="AV3" s="10" t="str">
        <f>IFERROR(VLOOKUP(ROWS(AV$2:AV3),$AS$2:$AU$151,2,FALSE),"")</f>
        <v/>
      </c>
      <c r="AW3" s="10" t="str">
        <f>IFERROR(VLOOKUP(ROWS($AV$2:AV3),$AS$2:$AU$151,3,FALSE),"")</f>
        <v/>
      </c>
      <c r="AY3" s="9">
        <f>IF(ISNUMBER(SEARCH(#REF!,AZ3)),MAX($AY$1:AY2)+1,0)</f>
        <v>0</v>
      </c>
      <c r="AZ3" s="9" t="e">
        <f>#REF!</f>
        <v>#REF!</v>
      </c>
      <c r="BA3" s="9" t="e">
        <f>#REF!</f>
        <v>#REF!</v>
      </c>
      <c r="BB3" s="10" t="str">
        <f>IFERROR(VLOOKUP(ROWS($BB$2:BB3),$AY$2:$BA$151,2,FALSE),"")</f>
        <v/>
      </c>
      <c r="BC3" s="10" t="str">
        <f>IFERROR(VLOOKUP(ROWS($BB$2:BB3),$AY$2:$BA$151,3,FALSE),"")</f>
        <v/>
      </c>
      <c r="BE3" t="s">
        <v>227</v>
      </c>
      <c r="BF3" t="s">
        <v>228</v>
      </c>
      <c r="BH3" t="s">
        <v>83</v>
      </c>
      <c r="BI3">
        <v>2</v>
      </c>
    </row>
    <row r="4" spans="1:61" x14ac:dyDescent="0.25">
      <c r="C4" s="3">
        <f>IF(ISNUMBER(SEARCH(#REF!,D4)),MAX($C$1:C3)+1,0)</f>
        <v>0</v>
      </c>
      <c r="D4" s="3" t="e">
        <f>#REF!</f>
        <v>#REF!</v>
      </c>
      <c r="E4" s="3" t="e">
        <f>#REF!</f>
        <v>#REF!</v>
      </c>
      <c r="F4" s="4" t="str">
        <f>IFERROR(VLOOKUP(ROWS($F$2:F4),$C$2:$E$151,2,FALSE),"")</f>
        <v/>
      </c>
      <c r="G4" s="4" t="str">
        <f>IFERROR(VLOOKUP(ROWS($F$2:F4),$C$2:$E$151,3,FALSE),"")</f>
        <v/>
      </c>
      <c r="I4" s="3">
        <f>IF(ISNUMBER(SEARCH(#REF!,J4)),MAX($I$1:I3)+1,0)</f>
        <v>0</v>
      </c>
      <c r="J4" s="3" t="e">
        <f>#REF!</f>
        <v>#REF!</v>
      </c>
      <c r="K4" s="3" t="e">
        <f>#REF!</f>
        <v>#REF!</v>
      </c>
      <c r="L4" s="4" t="str">
        <f>IFERROR(VLOOKUP(ROWS($L$2:L4),$I$2:$K$151,2,FALSE),"")</f>
        <v/>
      </c>
      <c r="M4" s="4" t="str">
        <f>IFERROR(VLOOKUP(ROWS($L$2:L4),$I$2:$K$151,3,FALSE),"")</f>
        <v/>
      </c>
      <c r="O4" s="3">
        <f>IF(ISNUMBER(SEARCH(#REF!,P4)),MAX($O$1:O3)+1,0)</f>
        <v>0</v>
      </c>
      <c r="P4" s="3" t="e">
        <f>#REF!</f>
        <v>#REF!</v>
      </c>
      <c r="Q4" s="3" t="e">
        <f>#REF!</f>
        <v>#REF!</v>
      </c>
      <c r="R4" s="4" t="str">
        <f>IFERROR(VLOOKUP(ROWS($R$2:R4),$O$2:$Q$151,2,FALSE),"")</f>
        <v/>
      </c>
      <c r="S4" s="4" t="str">
        <f>IFERROR(VLOOKUP(ROWS($R$2:R4),$O$2:$Q$151,3,FALSE),"")</f>
        <v/>
      </c>
      <c r="U4" s="5">
        <f>IF(ISNUMBER(SEARCH(#REF!,V4)),MAX($U$1:U3)+1,0)</f>
        <v>0</v>
      </c>
      <c r="V4" s="5" t="e">
        <f>#REF!</f>
        <v>#REF!</v>
      </c>
      <c r="W4" s="5" t="e">
        <f>#REF!</f>
        <v>#REF!</v>
      </c>
      <c r="X4" s="6" t="str">
        <f>IFERROR(VLOOKUP(ROWS($X$2:X4),$U$2:$W$151,2,FALSE),"")</f>
        <v/>
      </c>
      <c r="Y4" s="6" t="str">
        <f>IFERROR(VLOOKUP(ROWS($X$2:X4),$U$2:$W$151,3,FALSE),"")</f>
        <v/>
      </c>
      <c r="AA4" s="5">
        <f>IF(ISNUMBER(SEARCH(#REF!,AB4)),MAX($AA$1:AA3)+1,0)</f>
        <v>0</v>
      </c>
      <c r="AB4" s="5" t="e">
        <f>#REF!</f>
        <v>#REF!</v>
      </c>
      <c r="AC4" s="5" t="e">
        <f>#REF!</f>
        <v>#REF!</v>
      </c>
      <c r="AD4" s="6" t="str">
        <f>IFERROR(VLOOKUP(ROWS($AD$2:AD4),$AA$2:$AC$151,2,FALSE),"")</f>
        <v/>
      </c>
      <c r="AE4" s="6" t="str">
        <f>IFERROR(VLOOKUP(ROWS($AD$2:AD4),$AA$2:$AC$151,3,FALSE),"")</f>
        <v/>
      </c>
      <c r="AG4" s="7">
        <f>IF(ISNUMBER(SEARCH(#REF!,AH4)),MAX($AG$1:AG3)+1,0)</f>
        <v>0</v>
      </c>
      <c r="AH4" s="7" t="e">
        <f>#REF!</f>
        <v>#REF!</v>
      </c>
      <c r="AI4" s="7" t="e">
        <f>#REF!</f>
        <v>#REF!</v>
      </c>
      <c r="AJ4" s="8" t="str">
        <f>IFERROR(VLOOKUP(ROWS(AJ$2:AJ4),$AG$2:$AI$151,2,FALSE),"")</f>
        <v/>
      </c>
      <c r="AK4" s="8" t="str">
        <f>IFERROR(VLOOKUP(ROWS($AJ$2:AJ4),$AG$2:$AI$151,3,FALSE),"")</f>
        <v/>
      </c>
      <c r="AM4" s="7">
        <f>IF(ISNUMBER(SEARCH(#REF!,AN4)),MAX($AM$1:AM3)+1,0)</f>
        <v>0</v>
      </c>
      <c r="AN4" s="7" t="e">
        <f>#REF!</f>
        <v>#REF!</v>
      </c>
      <c r="AO4" s="7" t="e">
        <f>#REF!</f>
        <v>#REF!</v>
      </c>
      <c r="AP4" s="8" t="str">
        <f>IFERROR(VLOOKUP(ROWS($AP$2:AP4),$AM$2:$AO$151,2,FALSE),"")</f>
        <v/>
      </c>
      <c r="AQ4" s="8" t="str">
        <f>IFERROR(VLOOKUP(ROWS($AP$2:AP4),$AM$2:$AO$151,3,FALSE),"")</f>
        <v/>
      </c>
      <c r="AS4" s="9">
        <f>IF(ISNUMBER(SEARCH(#REF!,AT4)),MAX($AS$1:AS3)+1,0)</f>
        <v>0</v>
      </c>
      <c r="AT4" s="9" t="e">
        <f>#REF!</f>
        <v>#REF!</v>
      </c>
      <c r="AU4" s="9" t="e">
        <f>#REF!</f>
        <v>#REF!</v>
      </c>
      <c r="AV4" s="10" t="str">
        <f>IFERROR(VLOOKUP(ROWS(AV$2:AV4),$AS$2:$AU$151,2,FALSE),"")</f>
        <v/>
      </c>
      <c r="AW4" s="10" t="str">
        <f>IFERROR(VLOOKUP(ROWS($AV$2:AV4),$AS$2:$AU$151,3,FALSE),"")</f>
        <v/>
      </c>
      <c r="AY4" s="9">
        <f>IF(ISNUMBER(SEARCH(#REF!,AZ4)),MAX($AY$1:AY3)+1,0)</f>
        <v>0</v>
      </c>
      <c r="AZ4" s="9" t="e">
        <f>#REF!</f>
        <v>#REF!</v>
      </c>
      <c r="BA4" s="9" t="e">
        <f>#REF!</f>
        <v>#REF!</v>
      </c>
      <c r="BB4" s="10" t="str">
        <f>IFERROR(VLOOKUP(ROWS($BB$2:BB4),$AY$2:$BA$151,2,FALSE),"")</f>
        <v/>
      </c>
      <c r="BC4" s="10" t="str">
        <f>IFERROR(VLOOKUP(ROWS($BB$2:BB4),$AY$2:$BA$151,3,FALSE),"")</f>
        <v/>
      </c>
      <c r="BE4" t="s">
        <v>229</v>
      </c>
      <c r="BF4" t="s">
        <v>230</v>
      </c>
      <c r="BH4" t="s">
        <v>82</v>
      </c>
      <c r="BI4">
        <v>3</v>
      </c>
    </row>
    <row r="5" spans="1:61" x14ac:dyDescent="0.25">
      <c r="C5" s="3">
        <f>IF(ISNUMBER(SEARCH(#REF!,D5)),MAX($C$1:C4)+1,0)</f>
        <v>0</v>
      </c>
      <c r="D5" s="3" t="e">
        <f>#REF!</f>
        <v>#REF!</v>
      </c>
      <c r="E5" s="3" t="e">
        <f>#REF!</f>
        <v>#REF!</v>
      </c>
      <c r="F5" s="4" t="str">
        <f>IFERROR(VLOOKUP(ROWS($F$2:F5),$C$2:$E$151,2,FALSE),"")</f>
        <v/>
      </c>
      <c r="G5" s="4" t="str">
        <f>IFERROR(VLOOKUP(ROWS($F$2:F5),$C$2:$E$151,3,FALSE),"")</f>
        <v/>
      </c>
      <c r="I5" s="3">
        <f>IF(ISNUMBER(SEARCH(#REF!,J5)),MAX($I$1:I4)+1,0)</f>
        <v>0</v>
      </c>
      <c r="J5" s="3" t="e">
        <f>#REF!</f>
        <v>#REF!</v>
      </c>
      <c r="K5" s="3" t="e">
        <f>#REF!</f>
        <v>#REF!</v>
      </c>
      <c r="L5" s="4" t="str">
        <f>IFERROR(VLOOKUP(ROWS($L$2:L5),$I$2:$K$151,2,FALSE),"")</f>
        <v/>
      </c>
      <c r="M5" s="4" t="str">
        <f>IFERROR(VLOOKUP(ROWS($L$2:L5),$I$2:$K$151,3,FALSE),"")</f>
        <v/>
      </c>
      <c r="O5" s="3">
        <f>IF(ISNUMBER(SEARCH(#REF!,P5)),MAX($O$1:O4)+1,0)</f>
        <v>0</v>
      </c>
      <c r="P5" s="3" t="e">
        <f>#REF!</f>
        <v>#REF!</v>
      </c>
      <c r="Q5" s="3" t="e">
        <f>#REF!</f>
        <v>#REF!</v>
      </c>
      <c r="R5" s="4" t="str">
        <f>IFERROR(VLOOKUP(ROWS($R$2:R5),$O$2:$Q$151,2,FALSE),"")</f>
        <v/>
      </c>
      <c r="S5" s="4" t="str">
        <f>IFERROR(VLOOKUP(ROWS($R$2:R5),$O$2:$Q$151,3,FALSE),"")</f>
        <v/>
      </c>
      <c r="U5" s="5">
        <f>IF(ISNUMBER(SEARCH(#REF!,V5)),MAX($U$1:U4)+1,0)</f>
        <v>0</v>
      </c>
      <c r="V5" s="5" t="e">
        <f>#REF!</f>
        <v>#REF!</v>
      </c>
      <c r="W5" s="5" t="e">
        <f>#REF!</f>
        <v>#REF!</v>
      </c>
      <c r="X5" s="6" t="str">
        <f>IFERROR(VLOOKUP(ROWS($X$2:X5),$U$2:$W$151,2,FALSE),"")</f>
        <v/>
      </c>
      <c r="Y5" s="6" t="str">
        <f>IFERROR(VLOOKUP(ROWS($X$2:X5),$U$2:$W$151,3,FALSE),"")</f>
        <v/>
      </c>
      <c r="AA5" s="5">
        <f>IF(ISNUMBER(SEARCH(#REF!,AB5)),MAX($AA$1:AA4)+1,0)</f>
        <v>0</v>
      </c>
      <c r="AB5" s="5" t="e">
        <f>#REF!</f>
        <v>#REF!</v>
      </c>
      <c r="AC5" s="5" t="e">
        <f>#REF!</f>
        <v>#REF!</v>
      </c>
      <c r="AD5" s="6" t="str">
        <f>IFERROR(VLOOKUP(ROWS($AD$2:AD5),$AA$2:$AC$151,2,FALSE),"")</f>
        <v/>
      </c>
      <c r="AE5" s="6" t="str">
        <f>IFERROR(VLOOKUP(ROWS($AD$2:AD5),$AA$2:$AC$151,3,FALSE),"")</f>
        <v/>
      </c>
      <c r="AG5" s="7">
        <f>IF(ISNUMBER(SEARCH(#REF!,AH5)),MAX($AG$1:AG4)+1,0)</f>
        <v>0</v>
      </c>
      <c r="AH5" s="7" t="e">
        <f>#REF!</f>
        <v>#REF!</v>
      </c>
      <c r="AI5" s="7" t="e">
        <f>#REF!</f>
        <v>#REF!</v>
      </c>
      <c r="AJ5" s="8" t="str">
        <f>IFERROR(VLOOKUP(ROWS(AJ$2:AJ5),$AG$2:$AI$151,2,FALSE),"")</f>
        <v/>
      </c>
      <c r="AK5" s="8" t="str">
        <f>IFERROR(VLOOKUP(ROWS($AJ$2:AJ5),$AG$2:$AI$151,3,FALSE),"")</f>
        <v/>
      </c>
      <c r="AM5" s="7">
        <f>IF(ISNUMBER(SEARCH(#REF!,AN5)),MAX($AM$1:AM4)+1,0)</f>
        <v>0</v>
      </c>
      <c r="AN5" s="7" t="e">
        <f>#REF!</f>
        <v>#REF!</v>
      </c>
      <c r="AO5" s="7" t="e">
        <f>#REF!</f>
        <v>#REF!</v>
      </c>
      <c r="AP5" s="8" t="str">
        <f>IFERROR(VLOOKUP(ROWS($AP$2:AP5),$AM$2:$AO$151,2,FALSE),"")</f>
        <v/>
      </c>
      <c r="AQ5" s="8" t="str">
        <f>IFERROR(VLOOKUP(ROWS($AP$2:AP5),$AM$2:$AO$151,3,FALSE),"")</f>
        <v/>
      </c>
      <c r="AS5" s="9">
        <f>IF(ISNUMBER(SEARCH(#REF!,AT5)),MAX($AS$1:AS4)+1,0)</f>
        <v>0</v>
      </c>
      <c r="AT5" s="9" t="e">
        <f>#REF!</f>
        <v>#REF!</v>
      </c>
      <c r="AU5" s="9" t="e">
        <f>#REF!</f>
        <v>#REF!</v>
      </c>
      <c r="AV5" s="10" t="str">
        <f>IFERROR(VLOOKUP(ROWS(AV$2:AV5),$AS$2:$AU$151,2,FALSE),"")</f>
        <v/>
      </c>
      <c r="AW5" s="10" t="str">
        <f>IFERROR(VLOOKUP(ROWS($AV$2:AV5),$AS$2:$AU$151,3,FALSE),"")</f>
        <v/>
      </c>
      <c r="AY5" s="9">
        <f>IF(ISNUMBER(SEARCH(#REF!,AZ5)),MAX($AY$1:AY4)+1,0)</f>
        <v>0</v>
      </c>
      <c r="AZ5" s="9" t="e">
        <f>#REF!</f>
        <v>#REF!</v>
      </c>
      <c r="BA5" s="9" t="e">
        <f>#REF!</f>
        <v>#REF!</v>
      </c>
      <c r="BB5" s="10" t="str">
        <f>IFERROR(VLOOKUP(ROWS($BB$2:BB5),$AY$2:$BA$151,2,FALSE),"")</f>
        <v/>
      </c>
      <c r="BC5" s="10" t="str">
        <f>IFERROR(VLOOKUP(ROWS($BB$2:BB5),$AY$2:$BA$151,3,FALSE),"")</f>
        <v/>
      </c>
      <c r="BE5" t="s">
        <v>231</v>
      </c>
      <c r="BF5" t="s">
        <v>232</v>
      </c>
      <c r="BH5" t="s">
        <v>81</v>
      </c>
      <c r="BI5">
        <v>4</v>
      </c>
    </row>
    <row r="6" spans="1:61" x14ac:dyDescent="0.25">
      <c r="C6" s="3">
        <f>IF(ISNUMBER(SEARCH(#REF!,D6)),MAX($C$1:C5)+1,0)</f>
        <v>0</v>
      </c>
      <c r="D6" s="3" t="e">
        <f>#REF!</f>
        <v>#REF!</v>
      </c>
      <c r="E6" s="3" t="e">
        <f>#REF!</f>
        <v>#REF!</v>
      </c>
      <c r="F6" s="4" t="str">
        <f>IFERROR(VLOOKUP(ROWS($F$2:F6),$C$2:$E$151,2,FALSE),"")</f>
        <v/>
      </c>
      <c r="G6" s="4" t="str">
        <f>IFERROR(VLOOKUP(ROWS($F$2:F6),$C$2:$E$151,3,FALSE),"")</f>
        <v/>
      </c>
      <c r="I6" s="3">
        <f>IF(ISNUMBER(SEARCH(#REF!,J6)),MAX($I$1:I5)+1,0)</f>
        <v>0</v>
      </c>
      <c r="J6" s="3" t="e">
        <f>#REF!</f>
        <v>#REF!</v>
      </c>
      <c r="K6" s="3" t="e">
        <f>#REF!</f>
        <v>#REF!</v>
      </c>
      <c r="L6" s="4" t="str">
        <f>IFERROR(VLOOKUP(ROWS($L$2:L6),$I$2:$K$151,2,FALSE),"")</f>
        <v/>
      </c>
      <c r="M6" s="4" t="str">
        <f>IFERROR(VLOOKUP(ROWS($L$2:L6),$I$2:$K$151,3,FALSE),"")</f>
        <v/>
      </c>
      <c r="O6" s="3">
        <f>IF(ISNUMBER(SEARCH(#REF!,P6)),MAX($O$1:O5)+1,0)</f>
        <v>0</v>
      </c>
      <c r="P6" s="3" t="e">
        <f>#REF!</f>
        <v>#REF!</v>
      </c>
      <c r="Q6" s="3" t="e">
        <f>#REF!</f>
        <v>#REF!</v>
      </c>
      <c r="R6" s="4" t="str">
        <f>IFERROR(VLOOKUP(ROWS($R$2:R6),$O$2:$Q$151,2,FALSE),"")</f>
        <v/>
      </c>
      <c r="S6" s="4" t="str">
        <f>IFERROR(VLOOKUP(ROWS($R$2:R6),$O$2:$Q$151,3,FALSE),"")</f>
        <v/>
      </c>
      <c r="U6" s="5">
        <f>IF(ISNUMBER(SEARCH(#REF!,V6)),MAX($U$1:U5)+1,0)</f>
        <v>0</v>
      </c>
      <c r="V6" s="5" t="e">
        <f>#REF!</f>
        <v>#REF!</v>
      </c>
      <c r="W6" s="5" t="e">
        <f>#REF!</f>
        <v>#REF!</v>
      </c>
      <c r="X6" s="6" t="str">
        <f>IFERROR(VLOOKUP(ROWS($X$2:X6),$U$2:$W$151,2,FALSE),"")</f>
        <v/>
      </c>
      <c r="Y6" s="6" t="str">
        <f>IFERROR(VLOOKUP(ROWS($X$2:X6),$U$2:$W$151,3,FALSE),"")</f>
        <v/>
      </c>
      <c r="AA6" s="5">
        <f>IF(ISNUMBER(SEARCH(#REF!,AB6)),MAX($AA$1:AA5)+1,0)</f>
        <v>0</v>
      </c>
      <c r="AB6" s="5" t="e">
        <f>#REF!</f>
        <v>#REF!</v>
      </c>
      <c r="AC6" s="5" t="e">
        <f>#REF!</f>
        <v>#REF!</v>
      </c>
      <c r="AD6" s="6" t="str">
        <f>IFERROR(VLOOKUP(ROWS($AD$2:AD6),$AA$2:$AC$151,2,FALSE),"")</f>
        <v/>
      </c>
      <c r="AE6" s="6" t="str">
        <f>IFERROR(VLOOKUP(ROWS($AD$2:AD6),$AA$2:$AC$151,3,FALSE),"")</f>
        <v/>
      </c>
      <c r="AG6" s="7">
        <f>IF(ISNUMBER(SEARCH(#REF!,AH6)),MAX($AG$1:AG5)+1,0)</f>
        <v>0</v>
      </c>
      <c r="AH6" s="7" t="e">
        <f>#REF!</f>
        <v>#REF!</v>
      </c>
      <c r="AI6" s="7" t="e">
        <f>#REF!</f>
        <v>#REF!</v>
      </c>
      <c r="AJ6" s="8" t="str">
        <f>IFERROR(VLOOKUP(ROWS(AJ$2:AJ6),$AG$2:$AI$151,2,FALSE),"")</f>
        <v/>
      </c>
      <c r="AK6" s="8" t="str">
        <f>IFERROR(VLOOKUP(ROWS($AJ$2:AJ6),$AG$2:$AI$151,3,FALSE),"")</f>
        <v/>
      </c>
      <c r="AM6" s="7">
        <f>IF(ISNUMBER(SEARCH(#REF!,AN6)),MAX($AM$1:AM5)+1,0)</f>
        <v>0</v>
      </c>
      <c r="AN6" s="7" t="e">
        <f>#REF!</f>
        <v>#REF!</v>
      </c>
      <c r="AO6" s="7" t="e">
        <f>#REF!</f>
        <v>#REF!</v>
      </c>
      <c r="AP6" s="8" t="str">
        <f>IFERROR(VLOOKUP(ROWS($AP$2:AP6),$AM$2:$AO$151,2,FALSE),"")</f>
        <v/>
      </c>
      <c r="AQ6" s="8" t="str">
        <f>IFERROR(VLOOKUP(ROWS($AP$2:AP6),$AM$2:$AO$151,3,FALSE),"")</f>
        <v/>
      </c>
      <c r="AS6" s="9">
        <f>IF(ISNUMBER(SEARCH(#REF!,AT6)),MAX($AS$1:AS5)+1,0)</f>
        <v>0</v>
      </c>
      <c r="AT6" s="9" t="e">
        <f>#REF!</f>
        <v>#REF!</v>
      </c>
      <c r="AU6" s="9" t="e">
        <f>#REF!</f>
        <v>#REF!</v>
      </c>
      <c r="AV6" s="10" t="str">
        <f>IFERROR(VLOOKUP(ROWS(AV$2:AV6),$AS$2:$AU$151,2,FALSE),"")</f>
        <v/>
      </c>
      <c r="AW6" s="10" t="str">
        <f>IFERROR(VLOOKUP(ROWS($AV$2:AV6),$AS$2:$AU$151,3,FALSE),"")</f>
        <v/>
      </c>
      <c r="AY6" s="9">
        <f>IF(ISNUMBER(SEARCH(#REF!,AZ6)),MAX($AY$1:AY5)+1,0)</f>
        <v>0</v>
      </c>
      <c r="AZ6" s="9" t="e">
        <f>#REF!</f>
        <v>#REF!</v>
      </c>
      <c r="BA6" s="9" t="e">
        <f>#REF!</f>
        <v>#REF!</v>
      </c>
      <c r="BB6" s="10" t="str">
        <f>IFERROR(VLOOKUP(ROWS($BB$2:BB6),$AY$2:$BA$151,2,FALSE),"")</f>
        <v/>
      </c>
      <c r="BC6" s="10" t="str">
        <f>IFERROR(VLOOKUP(ROWS($BB$2:BB6),$AY$2:$BA$151,3,FALSE),"")</f>
        <v/>
      </c>
      <c r="BE6" t="s">
        <v>233</v>
      </c>
      <c r="BF6" t="s">
        <v>234</v>
      </c>
    </row>
    <row r="7" spans="1:61" x14ac:dyDescent="0.25">
      <c r="C7" s="3">
        <f>IF(ISNUMBER(SEARCH(#REF!,D7)),MAX($C$1:C6)+1,0)</f>
        <v>0</v>
      </c>
      <c r="D7" s="3" t="e">
        <f>#REF!</f>
        <v>#REF!</v>
      </c>
      <c r="E7" s="3" t="e">
        <f>#REF!</f>
        <v>#REF!</v>
      </c>
      <c r="F7" s="4" t="str">
        <f>IFERROR(VLOOKUP(ROWS($F$2:F7),$C$2:$E$151,2,FALSE),"")</f>
        <v/>
      </c>
      <c r="G7" s="4" t="str">
        <f>IFERROR(VLOOKUP(ROWS($F$2:F7),$C$2:$E$151,3,FALSE),"")</f>
        <v/>
      </c>
      <c r="I7" s="3">
        <f>IF(ISNUMBER(SEARCH(#REF!,J7)),MAX($I$1:I6)+1,0)</f>
        <v>0</v>
      </c>
      <c r="J7" s="3" t="e">
        <f>#REF!</f>
        <v>#REF!</v>
      </c>
      <c r="K7" s="3" t="e">
        <f>#REF!</f>
        <v>#REF!</v>
      </c>
      <c r="L7" s="4" t="str">
        <f>IFERROR(VLOOKUP(ROWS($L$2:L7),$I$2:$K$151,2,FALSE),"")</f>
        <v/>
      </c>
      <c r="M7" s="4" t="str">
        <f>IFERROR(VLOOKUP(ROWS($L$2:L7),$I$2:$K$151,3,FALSE),"")</f>
        <v/>
      </c>
      <c r="O7" s="3">
        <f>IF(ISNUMBER(SEARCH(#REF!,P7)),MAX($O$1:O6)+1,0)</f>
        <v>0</v>
      </c>
      <c r="P7" s="3" t="e">
        <f>#REF!</f>
        <v>#REF!</v>
      </c>
      <c r="Q7" s="3" t="e">
        <f>#REF!</f>
        <v>#REF!</v>
      </c>
      <c r="R7" s="4" t="str">
        <f>IFERROR(VLOOKUP(ROWS($R$2:R7),$O$2:$Q$151,2,FALSE),"")</f>
        <v/>
      </c>
      <c r="S7" s="4" t="str">
        <f>IFERROR(VLOOKUP(ROWS($R$2:R7),$O$2:$Q$151,3,FALSE),"")</f>
        <v/>
      </c>
      <c r="U7" s="5">
        <f>IF(ISNUMBER(SEARCH(#REF!,V7)),MAX($U$1:U6)+1,0)</f>
        <v>0</v>
      </c>
      <c r="V7" s="5" t="e">
        <f>#REF!</f>
        <v>#REF!</v>
      </c>
      <c r="W7" s="5" t="e">
        <f>#REF!</f>
        <v>#REF!</v>
      </c>
      <c r="X7" s="6" t="str">
        <f>IFERROR(VLOOKUP(ROWS($X$2:X7),$U$2:$W$151,2,FALSE),"")</f>
        <v/>
      </c>
      <c r="Y7" s="6" t="str">
        <f>IFERROR(VLOOKUP(ROWS($X$2:X7),$U$2:$W$151,3,FALSE),"")</f>
        <v/>
      </c>
      <c r="AA7" s="5">
        <f>IF(ISNUMBER(SEARCH(#REF!,AB7)),MAX($AA$1:AA6)+1,0)</f>
        <v>0</v>
      </c>
      <c r="AB7" s="5" t="e">
        <f>#REF!</f>
        <v>#REF!</v>
      </c>
      <c r="AC7" s="5" t="e">
        <f>#REF!</f>
        <v>#REF!</v>
      </c>
      <c r="AD7" s="6" t="str">
        <f>IFERROR(VLOOKUP(ROWS($AD$2:AD7),$AA$2:$AC$151,2,FALSE),"")</f>
        <v/>
      </c>
      <c r="AE7" s="6" t="str">
        <f>IFERROR(VLOOKUP(ROWS($AD$2:AD7),$AA$2:$AC$151,3,FALSE),"")</f>
        <v/>
      </c>
      <c r="AG7" s="7">
        <f>IF(ISNUMBER(SEARCH(#REF!,AH7)),MAX($AG$1:AG6)+1,0)</f>
        <v>0</v>
      </c>
      <c r="AH7" s="7" t="e">
        <f>#REF!</f>
        <v>#REF!</v>
      </c>
      <c r="AI7" s="7" t="e">
        <f>#REF!</f>
        <v>#REF!</v>
      </c>
      <c r="AJ7" s="8" t="str">
        <f>IFERROR(VLOOKUP(ROWS(AJ$2:AJ7),$AG$2:$AI$151,2,FALSE),"")</f>
        <v/>
      </c>
      <c r="AK7" s="8" t="str">
        <f>IFERROR(VLOOKUP(ROWS($AJ$2:AJ7),$AG$2:$AI$151,3,FALSE),"")</f>
        <v/>
      </c>
      <c r="AM7" s="7">
        <f>IF(ISNUMBER(SEARCH(#REF!,AN7)),MAX($AM$1:AM6)+1,0)</f>
        <v>0</v>
      </c>
      <c r="AN7" s="7" t="e">
        <f>#REF!</f>
        <v>#REF!</v>
      </c>
      <c r="AO7" s="7" t="e">
        <f>#REF!</f>
        <v>#REF!</v>
      </c>
      <c r="AP7" s="8" t="str">
        <f>IFERROR(VLOOKUP(ROWS($AP$2:AP7),$AM$2:$AO$151,2,FALSE),"")</f>
        <v/>
      </c>
      <c r="AQ7" s="8" t="str">
        <f>IFERROR(VLOOKUP(ROWS($AP$2:AP7),$AM$2:$AO$151,3,FALSE),"")</f>
        <v/>
      </c>
      <c r="AS7" s="9">
        <f>IF(ISNUMBER(SEARCH(#REF!,AT7)),MAX($AS$1:AS6)+1,0)</f>
        <v>0</v>
      </c>
      <c r="AT7" s="9" t="e">
        <f>#REF!</f>
        <v>#REF!</v>
      </c>
      <c r="AU7" s="9" t="e">
        <f>#REF!</f>
        <v>#REF!</v>
      </c>
      <c r="AV7" s="10" t="str">
        <f>IFERROR(VLOOKUP(ROWS(AV$2:AV7),$AS$2:$AU$151,2,FALSE),"")</f>
        <v/>
      </c>
      <c r="AW7" s="10" t="str">
        <f>IFERROR(VLOOKUP(ROWS($AV$2:AV7),$AS$2:$AU$151,3,FALSE),"")</f>
        <v/>
      </c>
      <c r="AY7" s="9">
        <f>IF(ISNUMBER(SEARCH(#REF!,AZ7)),MAX($AY$1:AY6)+1,0)</f>
        <v>0</v>
      </c>
      <c r="AZ7" s="9" t="e">
        <f>#REF!</f>
        <v>#REF!</v>
      </c>
      <c r="BA7" s="9" t="e">
        <f>#REF!</f>
        <v>#REF!</v>
      </c>
      <c r="BB7" s="10" t="str">
        <f>IFERROR(VLOOKUP(ROWS($BB$2:BB7),$AY$2:$BA$151,2,FALSE),"")</f>
        <v/>
      </c>
      <c r="BC7" s="10" t="str">
        <f>IFERROR(VLOOKUP(ROWS($BB$2:BB7),$AY$2:$BA$151,3,FALSE),"")</f>
        <v/>
      </c>
      <c r="BE7" t="s">
        <v>235</v>
      </c>
      <c r="BF7" t="s">
        <v>236</v>
      </c>
    </row>
    <row r="8" spans="1:61" x14ac:dyDescent="0.25">
      <c r="C8" s="3">
        <f>IF(ISNUMBER(SEARCH(#REF!,D8)),MAX($C$1:C7)+1,0)</f>
        <v>0</v>
      </c>
      <c r="D8" s="3" t="e">
        <f>#REF!</f>
        <v>#REF!</v>
      </c>
      <c r="E8" s="3" t="e">
        <f>#REF!</f>
        <v>#REF!</v>
      </c>
      <c r="F8" s="4" t="str">
        <f>IFERROR(VLOOKUP(ROWS($F$2:F8),$C$2:$E$151,2,FALSE),"")</f>
        <v/>
      </c>
      <c r="G8" s="4" t="str">
        <f>IFERROR(VLOOKUP(ROWS($F$2:F8),$C$2:$E$151,3,FALSE),"")</f>
        <v/>
      </c>
      <c r="I8" s="3">
        <f>IF(ISNUMBER(SEARCH(#REF!,J8)),MAX($I$1:I7)+1,0)</f>
        <v>0</v>
      </c>
      <c r="J8" s="3" t="e">
        <f>#REF!</f>
        <v>#REF!</v>
      </c>
      <c r="K8" s="3" t="e">
        <f>#REF!</f>
        <v>#REF!</v>
      </c>
      <c r="L8" s="4" t="str">
        <f>IFERROR(VLOOKUP(ROWS($L$2:L8),$I$2:$K$151,2,FALSE),"")</f>
        <v/>
      </c>
      <c r="M8" s="4" t="str">
        <f>IFERROR(VLOOKUP(ROWS($L$2:L8),$I$2:$K$151,3,FALSE),"")</f>
        <v/>
      </c>
      <c r="O8" s="3">
        <f>IF(ISNUMBER(SEARCH(#REF!,P8)),MAX($O$1:O7)+1,0)</f>
        <v>0</v>
      </c>
      <c r="P8" s="3" t="e">
        <f>#REF!</f>
        <v>#REF!</v>
      </c>
      <c r="Q8" s="3" t="e">
        <f>#REF!</f>
        <v>#REF!</v>
      </c>
      <c r="R8" s="4" t="str">
        <f>IFERROR(VLOOKUP(ROWS($R$2:R8),$O$2:$Q$151,2,FALSE),"")</f>
        <v/>
      </c>
      <c r="S8" s="4" t="str">
        <f>IFERROR(VLOOKUP(ROWS($R$2:R8),$O$2:$Q$151,3,FALSE),"")</f>
        <v/>
      </c>
      <c r="U8" s="5">
        <f>IF(ISNUMBER(SEARCH(#REF!,V8)),MAX($U$1:U7)+1,0)</f>
        <v>0</v>
      </c>
      <c r="V8" s="5" t="e">
        <f>#REF!</f>
        <v>#REF!</v>
      </c>
      <c r="W8" s="5" t="e">
        <f>#REF!</f>
        <v>#REF!</v>
      </c>
      <c r="X8" s="6" t="str">
        <f>IFERROR(VLOOKUP(ROWS($X$2:X8),$U$2:$W$151,2,FALSE),"")</f>
        <v/>
      </c>
      <c r="Y8" s="6" t="str">
        <f>IFERROR(VLOOKUP(ROWS($X$2:X8),$U$2:$W$151,3,FALSE),"")</f>
        <v/>
      </c>
      <c r="AA8" s="5">
        <f>IF(ISNUMBER(SEARCH(#REF!,AB8)),MAX($AA$1:AA7)+1,0)</f>
        <v>0</v>
      </c>
      <c r="AB8" s="5" t="e">
        <f>#REF!</f>
        <v>#REF!</v>
      </c>
      <c r="AC8" s="5" t="e">
        <f>#REF!</f>
        <v>#REF!</v>
      </c>
      <c r="AD8" s="6" t="str">
        <f>IFERROR(VLOOKUP(ROWS($AD$2:AD8),$AA$2:$AC$151,2,FALSE),"")</f>
        <v/>
      </c>
      <c r="AE8" s="6" t="str">
        <f>IFERROR(VLOOKUP(ROWS($AD$2:AD8),$AA$2:$AC$151,3,FALSE),"")</f>
        <v/>
      </c>
      <c r="AG8" s="7">
        <f>IF(ISNUMBER(SEARCH(#REF!,AH8)),MAX($AG$1:AG7)+1,0)</f>
        <v>0</v>
      </c>
      <c r="AH8" s="7" t="e">
        <f>#REF!</f>
        <v>#REF!</v>
      </c>
      <c r="AI8" s="7" t="e">
        <f>#REF!</f>
        <v>#REF!</v>
      </c>
      <c r="AJ8" s="8" t="str">
        <f>IFERROR(VLOOKUP(ROWS(AJ$2:AJ8),$AG$2:$AI$151,2,FALSE),"")</f>
        <v/>
      </c>
      <c r="AK8" s="8" t="str">
        <f>IFERROR(VLOOKUP(ROWS($AJ$2:AJ8),$AG$2:$AI$151,3,FALSE),"")</f>
        <v/>
      </c>
      <c r="AM8" s="7">
        <f>IF(ISNUMBER(SEARCH(#REF!,AN8)),MAX($AM$1:AM7)+1,0)</f>
        <v>0</v>
      </c>
      <c r="AN8" s="7" t="e">
        <f>#REF!</f>
        <v>#REF!</v>
      </c>
      <c r="AO8" s="7" t="e">
        <f>#REF!</f>
        <v>#REF!</v>
      </c>
      <c r="AP8" s="8" t="str">
        <f>IFERROR(VLOOKUP(ROWS($AP$2:AP8),$AM$2:$AO$151,2,FALSE),"")</f>
        <v/>
      </c>
      <c r="AQ8" s="8" t="str">
        <f>IFERROR(VLOOKUP(ROWS($AP$2:AP8),$AM$2:$AO$151,3,FALSE),"")</f>
        <v/>
      </c>
      <c r="AS8" s="9">
        <f>IF(ISNUMBER(SEARCH(#REF!,AT8)),MAX($AS$1:AS7)+1,0)</f>
        <v>0</v>
      </c>
      <c r="AT8" s="9" t="e">
        <f>#REF!</f>
        <v>#REF!</v>
      </c>
      <c r="AU8" s="9" t="e">
        <f>#REF!</f>
        <v>#REF!</v>
      </c>
      <c r="AV8" s="10" t="str">
        <f>IFERROR(VLOOKUP(ROWS(AV$2:AV8),$AS$2:$AU$151,2,FALSE),"")</f>
        <v/>
      </c>
      <c r="AW8" s="10" t="str">
        <f>IFERROR(VLOOKUP(ROWS($AV$2:AV8),$AS$2:$AU$151,3,FALSE),"")</f>
        <v/>
      </c>
      <c r="AY8" s="9">
        <f>IF(ISNUMBER(SEARCH(#REF!,AZ8)),MAX($AY$1:AY7)+1,0)</f>
        <v>0</v>
      </c>
      <c r="AZ8" s="9" t="e">
        <f>#REF!</f>
        <v>#REF!</v>
      </c>
      <c r="BA8" s="9" t="e">
        <f>#REF!</f>
        <v>#REF!</v>
      </c>
      <c r="BB8" s="10" t="str">
        <f>IFERROR(VLOOKUP(ROWS($BB$2:BB8),$AY$2:$BA$151,2,FALSE),"")</f>
        <v/>
      </c>
      <c r="BC8" s="10" t="str">
        <f>IFERROR(VLOOKUP(ROWS($BB$2:BB8),$AY$2:$BA$151,3,FALSE),"")</f>
        <v/>
      </c>
      <c r="BE8" t="s">
        <v>237</v>
      </c>
      <c r="BF8" t="s">
        <v>238</v>
      </c>
    </row>
    <row r="9" spans="1:61" x14ac:dyDescent="0.25">
      <c r="C9" s="3">
        <f>IF(ISNUMBER(SEARCH(#REF!,D9)),MAX($C$1:C8)+1,0)</f>
        <v>0</v>
      </c>
      <c r="D9" s="3" t="e">
        <f>#REF!</f>
        <v>#REF!</v>
      </c>
      <c r="E9" s="3" t="e">
        <f>#REF!</f>
        <v>#REF!</v>
      </c>
      <c r="F9" s="4" t="str">
        <f>IFERROR(VLOOKUP(ROWS($F$2:F9),$C$2:$E$151,2,FALSE),"")</f>
        <v/>
      </c>
      <c r="G9" s="4" t="str">
        <f>IFERROR(VLOOKUP(ROWS($F$2:F9),$C$2:$E$151,3,FALSE),"")</f>
        <v/>
      </c>
      <c r="I9" s="3">
        <f>IF(ISNUMBER(SEARCH(#REF!,J9)),MAX($I$1:I8)+1,0)</f>
        <v>0</v>
      </c>
      <c r="J9" s="3" t="e">
        <f>#REF!</f>
        <v>#REF!</v>
      </c>
      <c r="K9" s="3" t="e">
        <f>#REF!</f>
        <v>#REF!</v>
      </c>
      <c r="L9" s="4" t="str">
        <f>IFERROR(VLOOKUP(ROWS($L$2:L9),$I$2:$K$151,2,FALSE),"")</f>
        <v/>
      </c>
      <c r="M9" s="4" t="str">
        <f>IFERROR(VLOOKUP(ROWS($L$2:L9),$I$2:$K$151,3,FALSE),"")</f>
        <v/>
      </c>
      <c r="O9" s="3">
        <f>IF(ISNUMBER(SEARCH(#REF!,P9)),MAX($O$1:O8)+1,0)</f>
        <v>0</v>
      </c>
      <c r="P9" s="3" t="e">
        <f>#REF!</f>
        <v>#REF!</v>
      </c>
      <c r="Q9" s="3" t="e">
        <f>#REF!</f>
        <v>#REF!</v>
      </c>
      <c r="R9" s="4" t="str">
        <f>IFERROR(VLOOKUP(ROWS($R$2:R9),$O$2:$Q$151,2,FALSE),"")</f>
        <v/>
      </c>
      <c r="S9" s="4" t="str">
        <f>IFERROR(VLOOKUP(ROWS($R$2:R9),$O$2:$Q$151,3,FALSE),"")</f>
        <v/>
      </c>
      <c r="U9" s="5">
        <f>IF(ISNUMBER(SEARCH(#REF!,V9)),MAX($U$1:U8)+1,0)</f>
        <v>0</v>
      </c>
      <c r="V9" s="5" t="e">
        <f>#REF!</f>
        <v>#REF!</v>
      </c>
      <c r="W9" s="5" t="e">
        <f>#REF!</f>
        <v>#REF!</v>
      </c>
      <c r="X9" s="6" t="str">
        <f>IFERROR(VLOOKUP(ROWS($X$2:X9),$U$2:$W$151,2,FALSE),"")</f>
        <v/>
      </c>
      <c r="Y9" s="6" t="str">
        <f>IFERROR(VLOOKUP(ROWS($X$2:X9),$U$2:$W$151,3,FALSE),"")</f>
        <v/>
      </c>
      <c r="AA9" s="5">
        <f>IF(ISNUMBER(SEARCH(#REF!,AB9)),MAX($AA$1:AA8)+1,0)</f>
        <v>0</v>
      </c>
      <c r="AB9" s="5" t="e">
        <f>#REF!</f>
        <v>#REF!</v>
      </c>
      <c r="AC9" s="5" t="e">
        <f>#REF!</f>
        <v>#REF!</v>
      </c>
      <c r="AD9" s="6" t="str">
        <f>IFERROR(VLOOKUP(ROWS($AD$2:AD9),$AA$2:$AC$151,2,FALSE),"")</f>
        <v/>
      </c>
      <c r="AE9" s="6" t="str">
        <f>IFERROR(VLOOKUP(ROWS($AD$2:AD9),$AA$2:$AC$151,3,FALSE),"")</f>
        <v/>
      </c>
      <c r="AG9" s="7">
        <f>IF(ISNUMBER(SEARCH(#REF!,AH9)),MAX($AG$1:AG8)+1,0)</f>
        <v>0</v>
      </c>
      <c r="AH9" s="7" t="e">
        <f>#REF!</f>
        <v>#REF!</v>
      </c>
      <c r="AI9" s="7" t="e">
        <f>#REF!</f>
        <v>#REF!</v>
      </c>
      <c r="AJ9" s="8" t="str">
        <f>IFERROR(VLOOKUP(ROWS(AJ$2:AJ9),$AG$2:$AI$151,2,FALSE),"")</f>
        <v/>
      </c>
      <c r="AK9" s="8" t="str">
        <f>IFERROR(VLOOKUP(ROWS($AJ$2:AJ9),$AG$2:$AI$151,3,FALSE),"")</f>
        <v/>
      </c>
      <c r="AM9" s="7">
        <f>IF(ISNUMBER(SEARCH(#REF!,AN9)),MAX($AM$1:AM8)+1,0)</f>
        <v>0</v>
      </c>
      <c r="AN9" s="7" t="e">
        <f>#REF!</f>
        <v>#REF!</v>
      </c>
      <c r="AO9" s="7" t="e">
        <f>#REF!</f>
        <v>#REF!</v>
      </c>
      <c r="AP9" s="8" t="str">
        <f>IFERROR(VLOOKUP(ROWS($AP$2:AP9),$AM$2:$AO$151,2,FALSE),"")</f>
        <v/>
      </c>
      <c r="AQ9" s="8" t="str">
        <f>IFERROR(VLOOKUP(ROWS($AP$2:AP9),$AM$2:$AO$151,3,FALSE),"")</f>
        <v/>
      </c>
      <c r="AS9" s="9">
        <f>IF(ISNUMBER(SEARCH(#REF!,AT9)),MAX($AS$1:AS8)+1,0)</f>
        <v>0</v>
      </c>
      <c r="AT9" s="9" t="e">
        <f>#REF!</f>
        <v>#REF!</v>
      </c>
      <c r="AU9" s="9" t="e">
        <f>#REF!</f>
        <v>#REF!</v>
      </c>
      <c r="AV9" s="10" t="str">
        <f>IFERROR(VLOOKUP(ROWS(AV$2:AV9),$AS$2:$AU$151,2,FALSE),"")</f>
        <v/>
      </c>
      <c r="AW9" s="10" t="str">
        <f>IFERROR(VLOOKUP(ROWS($AV$2:AV9),$AS$2:$AU$151,3,FALSE),"")</f>
        <v/>
      </c>
      <c r="AY9" s="9">
        <f>IF(ISNUMBER(SEARCH(#REF!,AZ9)),MAX($AY$1:AY8)+1,0)</f>
        <v>0</v>
      </c>
      <c r="AZ9" s="9" t="e">
        <f>#REF!</f>
        <v>#REF!</v>
      </c>
      <c r="BA9" s="9" t="e">
        <f>#REF!</f>
        <v>#REF!</v>
      </c>
      <c r="BB9" s="10" t="str">
        <f>IFERROR(VLOOKUP(ROWS($BB$2:BB9),$AY$2:$BA$151,2,FALSE),"")</f>
        <v/>
      </c>
      <c r="BC9" s="10" t="str">
        <f>IFERROR(VLOOKUP(ROWS($BB$2:BB9),$AY$2:$BA$151,3,FALSE),"")</f>
        <v/>
      </c>
      <c r="BE9" s="1" t="s">
        <v>239</v>
      </c>
      <c r="BF9" s="1" t="s">
        <v>240</v>
      </c>
    </row>
    <row r="10" spans="1:61" x14ac:dyDescent="0.25">
      <c r="C10" s="3">
        <f>IF(ISNUMBER(SEARCH(#REF!,D10)),MAX($C$1:C9)+1,0)</f>
        <v>0</v>
      </c>
      <c r="D10" s="3" t="e">
        <f>#REF!</f>
        <v>#REF!</v>
      </c>
      <c r="E10" s="3" t="e">
        <f>#REF!</f>
        <v>#REF!</v>
      </c>
      <c r="F10" s="4" t="str">
        <f>IFERROR(VLOOKUP(ROWS($F$2:F10),$C$2:$E$151,2,FALSE),"")</f>
        <v/>
      </c>
      <c r="G10" s="4" t="str">
        <f>IFERROR(VLOOKUP(ROWS($F$2:F10),$C$2:$E$151,3,FALSE),"")</f>
        <v/>
      </c>
      <c r="I10" s="3">
        <f>IF(ISNUMBER(SEARCH(#REF!,J10)),MAX($I$1:I9)+1,0)</f>
        <v>0</v>
      </c>
      <c r="J10" s="3" t="e">
        <f>#REF!</f>
        <v>#REF!</v>
      </c>
      <c r="K10" s="3" t="e">
        <f>#REF!</f>
        <v>#REF!</v>
      </c>
      <c r="L10" s="4" t="str">
        <f>IFERROR(VLOOKUP(ROWS($L$2:L10),$I$2:$K$151,2,FALSE),"")</f>
        <v/>
      </c>
      <c r="M10" s="4" t="str">
        <f>IFERROR(VLOOKUP(ROWS($L$2:L10),$I$2:$K$151,3,FALSE),"")</f>
        <v/>
      </c>
      <c r="O10" s="3">
        <f>IF(ISNUMBER(SEARCH(#REF!,P10)),MAX($O$1:O9)+1,0)</f>
        <v>0</v>
      </c>
      <c r="P10" s="3" t="e">
        <f>#REF!</f>
        <v>#REF!</v>
      </c>
      <c r="Q10" s="3" t="e">
        <f>#REF!</f>
        <v>#REF!</v>
      </c>
      <c r="R10" s="4" t="str">
        <f>IFERROR(VLOOKUP(ROWS($R$2:R10),$O$2:$Q$151,2,FALSE),"")</f>
        <v/>
      </c>
      <c r="S10" s="4" t="str">
        <f>IFERROR(VLOOKUP(ROWS($R$2:R10),$O$2:$Q$151,3,FALSE),"")</f>
        <v/>
      </c>
      <c r="U10" s="5">
        <f>IF(ISNUMBER(SEARCH(#REF!,V10)),MAX($U$1:U9)+1,0)</f>
        <v>0</v>
      </c>
      <c r="V10" s="5" t="e">
        <f>#REF!</f>
        <v>#REF!</v>
      </c>
      <c r="W10" s="5" t="e">
        <f>#REF!</f>
        <v>#REF!</v>
      </c>
      <c r="X10" s="6" t="str">
        <f>IFERROR(VLOOKUP(ROWS($X$2:X10),$U$2:$W$151,2,FALSE),"")</f>
        <v/>
      </c>
      <c r="Y10" s="6" t="str">
        <f>IFERROR(VLOOKUP(ROWS($X$2:X10),$U$2:$W$151,3,FALSE),"")</f>
        <v/>
      </c>
      <c r="AA10" s="5">
        <f>IF(ISNUMBER(SEARCH(#REF!,AB10)),MAX($AA$1:AA9)+1,0)</f>
        <v>0</v>
      </c>
      <c r="AB10" s="5" t="e">
        <f>#REF!</f>
        <v>#REF!</v>
      </c>
      <c r="AC10" s="5" t="e">
        <f>#REF!</f>
        <v>#REF!</v>
      </c>
      <c r="AD10" s="6" t="str">
        <f>IFERROR(VLOOKUP(ROWS($AD$2:AD10),$AA$2:$AC$151,2,FALSE),"")</f>
        <v/>
      </c>
      <c r="AE10" s="6" t="str">
        <f>IFERROR(VLOOKUP(ROWS($AD$2:AD10),$AA$2:$AC$151,3,FALSE),"")</f>
        <v/>
      </c>
      <c r="AG10" s="7">
        <f>IF(ISNUMBER(SEARCH(#REF!,AH10)),MAX($AG$1:AG9)+1,0)</f>
        <v>0</v>
      </c>
      <c r="AH10" s="7" t="e">
        <f>#REF!</f>
        <v>#REF!</v>
      </c>
      <c r="AI10" s="7" t="e">
        <f>#REF!</f>
        <v>#REF!</v>
      </c>
      <c r="AJ10" s="8" t="str">
        <f>IFERROR(VLOOKUP(ROWS(AJ$2:AJ10),$AG$2:$AI$151,2,FALSE),"")</f>
        <v/>
      </c>
      <c r="AK10" s="8" t="str">
        <f>IFERROR(VLOOKUP(ROWS($AJ$2:AJ10),$AG$2:$AI$151,3,FALSE),"")</f>
        <v/>
      </c>
      <c r="AM10" s="7">
        <f>IF(ISNUMBER(SEARCH(#REF!,AN10)),MAX($AM$1:AM9)+1,0)</f>
        <v>0</v>
      </c>
      <c r="AN10" s="7" t="e">
        <f>#REF!</f>
        <v>#REF!</v>
      </c>
      <c r="AO10" s="7" t="e">
        <f>#REF!</f>
        <v>#REF!</v>
      </c>
      <c r="AP10" s="8" t="str">
        <f>IFERROR(VLOOKUP(ROWS($AP$2:AP10),$AM$2:$AO$151,2,FALSE),"")</f>
        <v/>
      </c>
      <c r="AQ10" s="8" t="str">
        <f>IFERROR(VLOOKUP(ROWS($AP$2:AP10),$AM$2:$AO$151,3,FALSE),"")</f>
        <v/>
      </c>
      <c r="AS10" s="9">
        <f>IF(ISNUMBER(SEARCH(#REF!,AT10)),MAX($AS$1:AS9)+1,0)</f>
        <v>0</v>
      </c>
      <c r="AT10" s="9" t="e">
        <f>#REF!</f>
        <v>#REF!</v>
      </c>
      <c r="AU10" s="9" t="e">
        <f>#REF!</f>
        <v>#REF!</v>
      </c>
      <c r="AV10" s="10" t="str">
        <f>IFERROR(VLOOKUP(ROWS(AV$2:AV10),$AS$2:$AU$151,2,FALSE),"")</f>
        <v/>
      </c>
      <c r="AW10" s="10" t="str">
        <f>IFERROR(VLOOKUP(ROWS($AV$2:AV10),$AS$2:$AU$151,3,FALSE),"")</f>
        <v/>
      </c>
      <c r="AY10" s="9">
        <f>IF(ISNUMBER(SEARCH(#REF!,AZ10)),MAX($AY$1:AY9)+1,0)</f>
        <v>0</v>
      </c>
      <c r="AZ10" s="9" t="e">
        <f>#REF!</f>
        <v>#REF!</v>
      </c>
      <c r="BA10" s="9" t="e">
        <f>#REF!</f>
        <v>#REF!</v>
      </c>
      <c r="BB10" s="10" t="str">
        <f>IFERROR(VLOOKUP(ROWS($BB$2:BB10),$AY$2:$BA$151,2,FALSE),"")</f>
        <v/>
      </c>
      <c r="BC10" s="10" t="str">
        <f>IFERROR(VLOOKUP(ROWS($BB$2:BB10),$AY$2:$BA$151,3,FALSE),"")</f>
        <v/>
      </c>
      <c r="BE10" s="1" t="s">
        <v>241</v>
      </c>
      <c r="BF10" s="1" t="s">
        <v>242</v>
      </c>
    </row>
    <row r="11" spans="1:61" x14ac:dyDescent="0.25">
      <c r="C11" s="3">
        <f>IF(ISNUMBER(SEARCH(#REF!,D11)),MAX($C$1:C10)+1,0)</f>
        <v>0</v>
      </c>
      <c r="D11" s="3" t="e">
        <f>#REF!</f>
        <v>#REF!</v>
      </c>
      <c r="E11" s="3" t="e">
        <f>#REF!</f>
        <v>#REF!</v>
      </c>
      <c r="F11" s="4" t="str">
        <f>IFERROR(VLOOKUP(ROWS($F$2:F11),$C$2:$E$151,2,FALSE),"")</f>
        <v/>
      </c>
      <c r="G11" s="4" t="str">
        <f>IFERROR(VLOOKUP(ROWS($F$2:F11),$C$2:$E$151,3,FALSE),"")</f>
        <v/>
      </c>
      <c r="I11" s="3">
        <f>IF(ISNUMBER(SEARCH(#REF!,J11)),MAX($I$1:I10)+1,0)</f>
        <v>0</v>
      </c>
      <c r="J11" s="3" t="e">
        <f>#REF!</f>
        <v>#REF!</v>
      </c>
      <c r="K11" s="3" t="e">
        <f>#REF!</f>
        <v>#REF!</v>
      </c>
      <c r="L11" s="4" t="str">
        <f>IFERROR(VLOOKUP(ROWS($L$2:L11),$I$2:$K$151,2,FALSE),"")</f>
        <v/>
      </c>
      <c r="M11" s="4" t="str">
        <f>IFERROR(VLOOKUP(ROWS($L$2:L11),$I$2:$K$151,3,FALSE),"")</f>
        <v/>
      </c>
      <c r="O11" s="3">
        <f>IF(ISNUMBER(SEARCH(#REF!,P11)),MAX($O$1:O10)+1,0)</f>
        <v>0</v>
      </c>
      <c r="P11" s="3" t="e">
        <f>#REF!</f>
        <v>#REF!</v>
      </c>
      <c r="Q11" s="3" t="e">
        <f>#REF!</f>
        <v>#REF!</v>
      </c>
      <c r="R11" s="4" t="str">
        <f>IFERROR(VLOOKUP(ROWS($R$2:R11),$O$2:$Q$151,2,FALSE),"")</f>
        <v/>
      </c>
      <c r="S11" s="4" t="str">
        <f>IFERROR(VLOOKUP(ROWS($R$2:R11),$O$2:$Q$151,3,FALSE),"")</f>
        <v/>
      </c>
      <c r="U11" s="5">
        <f>IF(ISNUMBER(SEARCH(#REF!,V11)),MAX($U$1:U10)+1,0)</f>
        <v>0</v>
      </c>
      <c r="V11" s="5" t="e">
        <f>#REF!</f>
        <v>#REF!</v>
      </c>
      <c r="W11" s="5" t="e">
        <f>#REF!</f>
        <v>#REF!</v>
      </c>
      <c r="X11" s="6" t="str">
        <f>IFERROR(VLOOKUP(ROWS($X$2:X11),$U$2:$W$151,2,FALSE),"")</f>
        <v/>
      </c>
      <c r="Y11" s="6" t="str">
        <f>IFERROR(VLOOKUP(ROWS($X$2:X11),$U$2:$W$151,3,FALSE),"")</f>
        <v/>
      </c>
      <c r="AA11" s="5">
        <f>IF(ISNUMBER(SEARCH(#REF!,AB11)),MAX($AA$1:AA10)+1,0)</f>
        <v>0</v>
      </c>
      <c r="AB11" s="5" t="e">
        <f>#REF!</f>
        <v>#REF!</v>
      </c>
      <c r="AC11" s="5" t="e">
        <f>#REF!</f>
        <v>#REF!</v>
      </c>
      <c r="AD11" s="6" t="str">
        <f>IFERROR(VLOOKUP(ROWS($AD$2:AD11),$AA$2:$AC$151,2,FALSE),"")</f>
        <v/>
      </c>
      <c r="AE11" s="6" t="str">
        <f>IFERROR(VLOOKUP(ROWS($AD$2:AD11),$AA$2:$AC$151,3,FALSE),"")</f>
        <v/>
      </c>
      <c r="AG11" s="7">
        <f>IF(ISNUMBER(SEARCH(#REF!,AH11)),MAX($AG$1:AG10)+1,0)</f>
        <v>0</v>
      </c>
      <c r="AH11" s="7" t="e">
        <f>#REF!</f>
        <v>#REF!</v>
      </c>
      <c r="AI11" s="7" t="e">
        <f>#REF!</f>
        <v>#REF!</v>
      </c>
      <c r="AJ11" s="8" t="str">
        <f>IFERROR(VLOOKUP(ROWS(AJ$2:AJ11),$AG$2:$AI$151,2,FALSE),"")</f>
        <v/>
      </c>
      <c r="AK11" s="8" t="str">
        <f>IFERROR(VLOOKUP(ROWS($AJ$2:AJ11),$AG$2:$AI$151,3,FALSE),"")</f>
        <v/>
      </c>
      <c r="AM11" s="7">
        <f>IF(ISNUMBER(SEARCH(#REF!,AN11)),MAX($AM$1:AM10)+1,0)</f>
        <v>0</v>
      </c>
      <c r="AN11" s="7" t="e">
        <f>#REF!</f>
        <v>#REF!</v>
      </c>
      <c r="AO11" s="7" t="e">
        <f>#REF!</f>
        <v>#REF!</v>
      </c>
      <c r="AP11" s="8" t="str">
        <f>IFERROR(VLOOKUP(ROWS($AP$2:AP11),$AM$2:$AO$151,2,FALSE),"")</f>
        <v/>
      </c>
      <c r="AQ11" s="8" t="str">
        <f>IFERROR(VLOOKUP(ROWS($AP$2:AP11),$AM$2:$AO$151,3,FALSE),"")</f>
        <v/>
      </c>
      <c r="AS11" s="9">
        <f>IF(ISNUMBER(SEARCH(#REF!,AT11)),MAX($AS$1:AS10)+1,0)</f>
        <v>0</v>
      </c>
      <c r="AT11" s="9" t="e">
        <f>#REF!</f>
        <v>#REF!</v>
      </c>
      <c r="AU11" s="9" t="e">
        <f>#REF!</f>
        <v>#REF!</v>
      </c>
      <c r="AV11" s="10" t="str">
        <f>IFERROR(VLOOKUP(ROWS(AV$2:AV11),$AS$2:$AU$151,2,FALSE),"")</f>
        <v/>
      </c>
      <c r="AW11" s="10" t="str">
        <f>IFERROR(VLOOKUP(ROWS($AV$2:AV11),$AS$2:$AU$151,3,FALSE),"")</f>
        <v/>
      </c>
      <c r="AY11" s="9">
        <f>IF(ISNUMBER(SEARCH(#REF!,AZ11)),MAX($AY$1:AY10)+1,0)</f>
        <v>0</v>
      </c>
      <c r="AZ11" s="9" t="e">
        <f>#REF!</f>
        <v>#REF!</v>
      </c>
      <c r="BA11" s="9" t="e">
        <f>#REF!</f>
        <v>#REF!</v>
      </c>
      <c r="BB11" s="10" t="str">
        <f>IFERROR(VLOOKUP(ROWS($BB$2:BB11),$AY$2:$BA$151,2,FALSE),"")</f>
        <v/>
      </c>
      <c r="BC11" s="10" t="str">
        <f>IFERROR(VLOOKUP(ROWS($BB$2:BB11),$AY$2:$BA$151,3,FALSE),"")</f>
        <v/>
      </c>
    </row>
    <row r="12" spans="1:61" x14ac:dyDescent="0.25">
      <c r="C12" s="3">
        <f>IF(ISNUMBER(SEARCH(#REF!,D12)),MAX($C$1:C11)+1,0)</f>
        <v>0</v>
      </c>
      <c r="D12" s="3" t="e">
        <f>#REF!</f>
        <v>#REF!</v>
      </c>
      <c r="E12" s="3" t="e">
        <f>#REF!</f>
        <v>#REF!</v>
      </c>
      <c r="F12" s="4" t="str">
        <f>IFERROR(VLOOKUP(ROWS($F$2:F12),$C$2:$E$151,2,FALSE),"")</f>
        <v/>
      </c>
      <c r="G12" s="4" t="str">
        <f>IFERROR(VLOOKUP(ROWS($F$2:F12),$C$2:$E$151,3,FALSE),"")</f>
        <v/>
      </c>
      <c r="I12" s="3">
        <f>IF(ISNUMBER(SEARCH(#REF!,J12)),MAX($I$1:I11)+1,0)</f>
        <v>0</v>
      </c>
      <c r="J12" s="3" t="e">
        <f>#REF!</f>
        <v>#REF!</v>
      </c>
      <c r="K12" s="3" t="e">
        <f>#REF!</f>
        <v>#REF!</v>
      </c>
      <c r="L12" s="4" t="str">
        <f>IFERROR(VLOOKUP(ROWS($L$2:L12),$I$2:$K$151,2,FALSE),"")</f>
        <v/>
      </c>
      <c r="M12" s="4" t="str">
        <f>IFERROR(VLOOKUP(ROWS($L$2:L12),$I$2:$K$151,3,FALSE),"")</f>
        <v/>
      </c>
      <c r="O12" s="3">
        <f>IF(ISNUMBER(SEARCH(#REF!,P12)),MAX($O$1:O11)+1,0)</f>
        <v>0</v>
      </c>
      <c r="P12" s="3" t="e">
        <f>#REF!</f>
        <v>#REF!</v>
      </c>
      <c r="Q12" s="3" t="e">
        <f>#REF!</f>
        <v>#REF!</v>
      </c>
      <c r="R12" s="4" t="str">
        <f>IFERROR(VLOOKUP(ROWS($R$2:R12),$O$2:$Q$151,2,FALSE),"")</f>
        <v/>
      </c>
      <c r="S12" s="4" t="str">
        <f>IFERROR(VLOOKUP(ROWS($R$2:R12),$O$2:$Q$151,3,FALSE),"")</f>
        <v/>
      </c>
      <c r="U12" s="5">
        <f>IF(ISNUMBER(SEARCH(#REF!,V12)),MAX($U$1:U11)+1,0)</f>
        <v>0</v>
      </c>
      <c r="V12" s="5" t="e">
        <f>#REF!</f>
        <v>#REF!</v>
      </c>
      <c r="W12" s="5" t="e">
        <f>#REF!</f>
        <v>#REF!</v>
      </c>
      <c r="X12" s="6" t="str">
        <f>IFERROR(VLOOKUP(ROWS($X$2:X12),$U$2:$W$151,2,FALSE),"")</f>
        <v/>
      </c>
      <c r="Y12" s="6" t="str">
        <f>IFERROR(VLOOKUP(ROWS($X$2:X12),$U$2:$W$151,3,FALSE),"")</f>
        <v/>
      </c>
      <c r="AA12" s="5">
        <f>IF(ISNUMBER(SEARCH(#REF!,AB12)),MAX($AA$1:AA11)+1,0)</f>
        <v>0</v>
      </c>
      <c r="AB12" s="5" t="e">
        <f>#REF!</f>
        <v>#REF!</v>
      </c>
      <c r="AC12" s="5" t="e">
        <f>#REF!</f>
        <v>#REF!</v>
      </c>
      <c r="AD12" s="6" t="str">
        <f>IFERROR(VLOOKUP(ROWS($AD$2:AD12),$AA$2:$AC$151,2,FALSE),"")</f>
        <v/>
      </c>
      <c r="AE12" s="6" t="str">
        <f>IFERROR(VLOOKUP(ROWS($AD$2:AD12),$AA$2:$AC$151,3,FALSE),"")</f>
        <v/>
      </c>
      <c r="AG12" s="7">
        <f>IF(ISNUMBER(SEARCH(#REF!,AH12)),MAX($AG$1:AG11)+1,0)</f>
        <v>0</v>
      </c>
      <c r="AH12" s="7" t="e">
        <f>#REF!</f>
        <v>#REF!</v>
      </c>
      <c r="AI12" s="7" t="e">
        <f>#REF!</f>
        <v>#REF!</v>
      </c>
      <c r="AJ12" s="8" t="str">
        <f>IFERROR(VLOOKUP(ROWS(AJ$2:AJ12),$AG$2:$AI$151,2,FALSE),"")</f>
        <v/>
      </c>
      <c r="AK12" s="8" t="str">
        <f>IFERROR(VLOOKUP(ROWS($AJ$2:AJ12),$AG$2:$AI$151,3,FALSE),"")</f>
        <v/>
      </c>
      <c r="AM12" s="7">
        <f>IF(ISNUMBER(SEARCH(#REF!,AN12)),MAX($AM$1:AM11)+1,0)</f>
        <v>0</v>
      </c>
      <c r="AN12" s="7" t="e">
        <f>#REF!</f>
        <v>#REF!</v>
      </c>
      <c r="AO12" s="7" t="e">
        <f>#REF!</f>
        <v>#REF!</v>
      </c>
      <c r="AP12" s="8" t="str">
        <f>IFERROR(VLOOKUP(ROWS($AP$2:AP12),$AM$2:$AO$151,2,FALSE),"")</f>
        <v/>
      </c>
      <c r="AQ12" s="8" t="str">
        <f>IFERROR(VLOOKUP(ROWS($AP$2:AP12),$AM$2:$AO$151,3,FALSE),"")</f>
        <v/>
      </c>
      <c r="AS12" s="9">
        <f>IF(ISNUMBER(SEARCH(#REF!,AT12)),MAX($AS$1:AS11)+1,0)</f>
        <v>0</v>
      </c>
      <c r="AT12" s="9" t="e">
        <f>#REF!</f>
        <v>#REF!</v>
      </c>
      <c r="AU12" s="9" t="e">
        <f>#REF!</f>
        <v>#REF!</v>
      </c>
      <c r="AV12" s="10" t="str">
        <f>IFERROR(VLOOKUP(ROWS(AV$2:AV12),$AS$2:$AU$151,2,FALSE),"")</f>
        <v/>
      </c>
      <c r="AW12" s="10" t="str">
        <f>IFERROR(VLOOKUP(ROWS($AV$2:AV12),$AS$2:$AU$151,3,FALSE),"")</f>
        <v/>
      </c>
      <c r="AY12" s="9">
        <f>IF(ISNUMBER(SEARCH(#REF!,AZ12)),MAX($AY$1:AY11)+1,0)</f>
        <v>0</v>
      </c>
      <c r="AZ12" s="9" t="e">
        <f>#REF!</f>
        <v>#REF!</v>
      </c>
      <c r="BA12" s="9" t="e">
        <f>#REF!</f>
        <v>#REF!</v>
      </c>
      <c r="BB12" s="10" t="str">
        <f>IFERROR(VLOOKUP(ROWS($BB$2:BB12),$AY$2:$BA$151,2,FALSE),"")</f>
        <v/>
      </c>
      <c r="BC12" s="10" t="str">
        <f>IFERROR(VLOOKUP(ROWS($BB$2:BB12),$AY$2:$BA$151,3,FALSE),"")</f>
        <v/>
      </c>
    </row>
    <row r="13" spans="1:61" x14ac:dyDescent="0.25">
      <c r="C13" s="3">
        <f>IF(ISNUMBER(SEARCH(#REF!,D13)),MAX($C$1:C12)+1,0)</f>
        <v>0</v>
      </c>
      <c r="D13" s="3" t="e">
        <f>#REF!</f>
        <v>#REF!</v>
      </c>
      <c r="E13" s="3" t="e">
        <f>#REF!</f>
        <v>#REF!</v>
      </c>
      <c r="F13" s="4" t="str">
        <f>IFERROR(VLOOKUP(ROWS($F$2:F13),$C$2:$E$151,2,FALSE),"")</f>
        <v/>
      </c>
      <c r="G13" s="4" t="str">
        <f>IFERROR(VLOOKUP(ROWS($F$2:F13),$C$2:$E$151,3,FALSE),"")</f>
        <v/>
      </c>
      <c r="I13" s="3">
        <f>IF(ISNUMBER(SEARCH(#REF!,J13)),MAX($I$1:I12)+1,0)</f>
        <v>0</v>
      </c>
      <c r="J13" s="3" t="e">
        <f>#REF!</f>
        <v>#REF!</v>
      </c>
      <c r="K13" s="3" t="e">
        <f>#REF!</f>
        <v>#REF!</v>
      </c>
      <c r="L13" s="4" t="str">
        <f>IFERROR(VLOOKUP(ROWS($L$2:L13),$I$2:$K$151,2,FALSE),"")</f>
        <v/>
      </c>
      <c r="M13" s="4" t="str">
        <f>IFERROR(VLOOKUP(ROWS($L$2:L13),$I$2:$K$151,3,FALSE),"")</f>
        <v/>
      </c>
      <c r="O13" s="3">
        <f>IF(ISNUMBER(SEARCH(#REF!,P13)),MAX($O$1:O12)+1,0)</f>
        <v>0</v>
      </c>
      <c r="P13" s="3" t="e">
        <f>#REF!</f>
        <v>#REF!</v>
      </c>
      <c r="Q13" s="3" t="e">
        <f>#REF!</f>
        <v>#REF!</v>
      </c>
      <c r="R13" s="4" t="str">
        <f>IFERROR(VLOOKUP(ROWS($R$2:R13),$O$2:$Q$151,2,FALSE),"")</f>
        <v/>
      </c>
      <c r="S13" s="4" t="str">
        <f>IFERROR(VLOOKUP(ROWS($R$2:R13),$O$2:$Q$151,3,FALSE),"")</f>
        <v/>
      </c>
      <c r="U13" s="5">
        <f>IF(ISNUMBER(SEARCH(#REF!,V13)),MAX($U$1:U12)+1,0)</f>
        <v>0</v>
      </c>
      <c r="V13" s="5" t="e">
        <f>#REF!</f>
        <v>#REF!</v>
      </c>
      <c r="W13" s="5" t="e">
        <f>#REF!</f>
        <v>#REF!</v>
      </c>
      <c r="X13" s="6" t="str">
        <f>IFERROR(VLOOKUP(ROWS($X$2:X13),$U$2:$W$151,2,FALSE),"")</f>
        <v/>
      </c>
      <c r="Y13" s="6" t="str">
        <f>IFERROR(VLOOKUP(ROWS($X$2:X13),$U$2:$W$151,3,FALSE),"")</f>
        <v/>
      </c>
      <c r="AA13" s="5">
        <f>IF(ISNUMBER(SEARCH(#REF!,AB13)),MAX($AA$1:AA12)+1,0)</f>
        <v>0</v>
      </c>
      <c r="AB13" s="5" t="e">
        <f>#REF!</f>
        <v>#REF!</v>
      </c>
      <c r="AC13" s="5" t="e">
        <f>#REF!</f>
        <v>#REF!</v>
      </c>
      <c r="AD13" s="6" t="str">
        <f>IFERROR(VLOOKUP(ROWS($AD$2:AD13),$AA$2:$AC$151,2,FALSE),"")</f>
        <v/>
      </c>
      <c r="AE13" s="6" t="str">
        <f>IFERROR(VLOOKUP(ROWS($AD$2:AD13),$AA$2:$AC$151,3,FALSE),"")</f>
        <v/>
      </c>
      <c r="AG13" s="7">
        <f>IF(ISNUMBER(SEARCH(#REF!,AH13)),MAX($AG$1:AG12)+1,0)</f>
        <v>0</v>
      </c>
      <c r="AH13" s="7" t="e">
        <f>#REF!</f>
        <v>#REF!</v>
      </c>
      <c r="AI13" s="7" t="e">
        <f>#REF!</f>
        <v>#REF!</v>
      </c>
      <c r="AJ13" s="8" t="str">
        <f>IFERROR(VLOOKUP(ROWS(AJ$2:AJ13),$AG$2:$AI$151,2,FALSE),"")</f>
        <v/>
      </c>
      <c r="AK13" s="8" t="str">
        <f>IFERROR(VLOOKUP(ROWS($AJ$2:AJ13),$AG$2:$AI$151,3,FALSE),"")</f>
        <v/>
      </c>
      <c r="AM13" s="7">
        <f>IF(ISNUMBER(SEARCH(#REF!,AN13)),MAX($AM$1:AM12)+1,0)</f>
        <v>0</v>
      </c>
      <c r="AN13" s="7" t="e">
        <f>#REF!</f>
        <v>#REF!</v>
      </c>
      <c r="AO13" s="7" t="e">
        <f>#REF!</f>
        <v>#REF!</v>
      </c>
      <c r="AP13" s="8" t="str">
        <f>IFERROR(VLOOKUP(ROWS($AP$2:AP13),$AM$2:$AO$151,2,FALSE),"")</f>
        <v/>
      </c>
      <c r="AQ13" s="8" t="str">
        <f>IFERROR(VLOOKUP(ROWS($AP$2:AP13),$AM$2:$AO$151,3,FALSE),"")</f>
        <v/>
      </c>
      <c r="AS13" s="9">
        <f>IF(ISNUMBER(SEARCH(#REF!,AT13)),MAX($AS$1:AS12)+1,0)</f>
        <v>0</v>
      </c>
      <c r="AT13" s="9" t="e">
        <f>#REF!</f>
        <v>#REF!</v>
      </c>
      <c r="AU13" s="9" t="e">
        <f>#REF!</f>
        <v>#REF!</v>
      </c>
      <c r="AV13" s="10" t="str">
        <f>IFERROR(VLOOKUP(ROWS(AV$2:AV13),$AS$2:$AU$151,2,FALSE),"")</f>
        <v/>
      </c>
      <c r="AW13" s="10" t="str">
        <f>IFERROR(VLOOKUP(ROWS($AV$2:AV13),$AS$2:$AU$151,3,FALSE),"")</f>
        <v/>
      </c>
      <c r="AY13" s="9">
        <f>IF(ISNUMBER(SEARCH(#REF!,AZ13)),MAX($AY$1:AY12)+1,0)</f>
        <v>0</v>
      </c>
      <c r="AZ13" s="9" t="e">
        <f>#REF!</f>
        <v>#REF!</v>
      </c>
      <c r="BA13" s="9" t="e">
        <f>#REF!</f>
        <v>#REF!</v>
      </c>
      <c r="BB13" s="10" t="str">
        <f>IFERROR(VLOOKUP(ROWS($BB$2:BB13),$AY$2:$BA$151,2,FALSE),"")</f>
        <v/>
      </c>
      <c r="BC13" s="10" t="str">
        <f>IFERROR(VLOOKUP(ROWS($BB$2:BB13),$AY$2:$BA$151,3,FALSE),"")</f>
        <v/>
      </c>
    </row>
    <row r="14" spans="1:61" x14ac:dyDescent="0.25">
      <c r="C14" s="3">
        <f>IF(ISNUMBER(SEARCH(#REF!,D14)),MAX($C$1:C13)+1,0)</f>
        <v>0</v>
      </c>
      <c r="D14" s="3" t="e">
        <f>#REF!</f>
        <v>#REF!</v>
      </c>
      <c r="E14" s="3" t="e">
        <f>#REF!</f>
        <v>#REF!</v>
      </c>
      <c r="F14" s="4" t="str">
        <f>IFERROR(VLOOKUP(ROWS($F$2:F14),$C$2:$E$151,2,FALSE),"")</f>
        <v/>
      </c>
      <c r="G14" s="4" t="str">
        <f>IFERROR(VLOOKUP(ROWS($F$2:F14),$C$2:$E$151,3,FALSE),"")</f>
        <v/>
      </c>
      <c r="I14" s="3">
        <f>IF(ISNUMBER(SEARCH(#REF!,J14)),MAX($I$1:I13)+1,0)</f>
        <v>0</v>
      </c>
      <c r="J14" s="3" t="e">
        <f>#REF!</f>
        <v>#REF!</v>
      </c>
      <c r="K14" s="3" t="e">
        <f>#REF!</f>
        <v>#REF!</v>
      </c>
      <c r="L14" s="4" t="str">
        <f>IFERROR(VLOOKUP(ROWS($L$2:L14),$I$2:$K$151,2,FALSE),"")</f>
        <v/>
      </c>
      <c r="M14" s="4" t="str">
        <f>IFERROR(VLOOKUP(ROWS($L$2:L14),$I$2:$K$151,3,FALSE),"")</f>
        <v/>
      </c>
      <c r="O14" s="3">
        <f>IF(ISNUMBER(SEARCH(#REF!,P14)),MAX($O$1:O13)+1,0)</f>
        <v>0</v>
      </c>
      <c r="P14" s="3" t="e">
        <f>#REF!</f>
        <v>#REF!</v>
      </c>
      <c r="Q14" s="3" t="e">
        <f>#REF!</f>
        <v>#REF!</v>
      </c>
      <c r="R14" s="4" t="str">
        <f>IFERROR(VLOOKUP(ROWS($R$2:R14),$O$2:$Q$151,2,FALSE),"")</f>
        <v/>
      </c>
      <c r="S14" s="4" t="str">
        <f>IFERROR(VLOOKUP(ROWS($R$2:R14),$O$2:$Q$151,3,FALSE),"")</f>
        <v/>
      </c>
      <c r="U14" s="5">
        <f>IF(ISNUMBER(SEARCH(#REF!,V14)),MAX($U$1:U13)+1,0)</f>
        <v>0</v>
      </c>
      <c r="V14" s="5" t="e">
        <f>#REF!</f>
        <v>#REF!</v>
      </c>
      <c r="W14" s="5" t="e">
        <f>#REF!</f>
        <v>#REF!</v>
      </c>
      <c r="X14" s="6" t="str">
        <f>IFERROR(VLOOKUP(ROWS($X$2:X14),$U$2:$W$151,2,FALSE),"")</f>
        <v/>
      </c>
      <c r="Y14" s="6" t="str">
        <f>IFERROR(VLOOKUP(ROWS($X$2:X14),$U$2:$W$151,3,FALSE),"")</f>
        <v/>
      </c>
      <c r="AA14" s="5">
        <f>IF(ISNUMBER(SEARCH(#REF!,AB14)),MAX($AA$1:AA13)+1,0)</f>
        <v>0</v>
      </c>
      <c r="AB14" s="5" t="e">
        <f>#REF!</f>
        <v>#REF!</v>
      </c>
      <c r="AC14" s="5" t="e">
        <f>#REF!</f>
        <v>#REF!</v>
      </c>
      <c r="AD14" s="6" t="str">
        <f>IFERROR(VLOOKUP(ROWS($AD$2:AD14),$AA$2:$AC$151,2,FALSE),"")</f>
        <v/>
      </c>
      <c r="AE14" s="6" t="str">
        <f>IFERROR(VLOOKUP(ROWS($AD$2:AD14),$AA$2:$AC$151,3,FALSE),"")</f>
        <v/>
      </c>
      <c r="AG14" s="7">
        <f>IF(ISNUMBER(SEARCH(#REF!,AH14)),MAX($AG$1:AG13)+1,0)</f>
        <v>0</v>
      </c>
      <c r="AH14" s="7" t="e">
        <f>#REF!</f>
        <v>#REF!</v>
      </c>
      <c r="AI14" s="7" t="e">
        <f>#REF!</f>
        <v>#REF!</v>
      </c>
      <c r="AJ14" s="8" t="str">
        <f>IFERROR(VLOOKUP(ROWS(AJ$2:AJ14),$AG$2:$AI$151,2,FALSE),"")</f>
        <v/>
      </c>
      <c r="AK14" s="8" t="str">
        <f>IFERROR(VLOOKUP(ROWS($AJ$2:AJ14),$AG$2:$AI$151,3,FALSE),"")</f>
        <v/>
      </c>
      <c r="AM14" s="7">
        <f>IF(ISNUMBER(SEARCH(#REF!,AN14)),MAX($AM$1:AM13)+1,0)</f>
        <v>0</v>
      </c>
      <c r="AN14" s="7" t="e">
        <f>#REF!</f>
        <v>#REF!</v>
      </c>
      <c r="AO14" s="7" t="e">
        <f>#REF!</f>
        <v>#REF!</v>
      </c>
      <c r="AP14" s="8" t="str">
        <f>IFERROR(VLOOKUP(ROWS($AP$2:AP14),$AM$2:$AO$151,2,FALSE),"")</f>
        <v/>
      </c>
      <c r="AQ14" s="8" t="str">
        <f>IFERROR(VLOOKUP(ROWS($AP$2:AP14),$AM$2:$AO$151,3,FALSE),"")</f>
        <v/>
      </c>
      <c r="AS14" s="9">
        <f>IF(ISNUMBER(SEARCH(#REF!,AT14)),MAX($AS$1:AS13)+1,0)</f>
        <v>0</v>
      </c>
      <c r="AT14" s="9" t="e">
        <f>#REF!</f>
        <v>#REF!</v>
      </c>
      <c r="AU14" s="9" t="e">
        <f>#REF!</f>
        <v>#REF!</v>
      </c>
      <c r="AV14" s="10" t="str">
        <f>IFERROR(VLOOKUP(ROWS(AV$2:AV14),$AS$2:$AU$151,2,FALSE),"")</f>
        <v/>
      </c>
      <c r="AW14" s="10" t="str">
        <f>IFERROR(VLOOKUP(ROWS($AV$2:AV14),$AS$2:$AU$151,3,FALSE),"")</f>
        <v/>
      </c>
      <c r="AY14" s="9">
        <f>IF(ISNUMBER(SEARCH(#REF!,AZ14)),MAX($AY$1:AY13)+1,0)</f>
        <v>0</v>
      </c>
      <c r="AZ14" s="9" t="e">
        <f>#REF!</f>
        <v>#REF!</v>
      </c>
      <c r="BA14" s="9" t="e">
        <f>#REF!</f>
        <v>#REF!</v>
      </c>
      <c r="BB14" s="10" t="str">
        <f>IFERROR(VLOOKUP(ROWS($BB$2:BB14),$AY$2:$BA$151,2,FALSE),"")</f>
        <v/>
      </c>
      <c r="BC14" s="10" t="str">
        <f>IFERROR(VLOOKUP(ROWS($BB$2:BB14),$AY$2:$BA$151,3,FALSE),"")</f>
        <v/>
      </c>
    </row>
    <row r="15" spans="1:61" x14ac:dyDescent="0.25">
      <c r="C15" s="3">
        <f>IF(ISNUMBER(SEARCH(#REF!,D15)),MAX($C$1:C14)+1,0)</f>
        <v>0</v>
      </c>
      <c r="D15" s="3" t="e">
        <f>#REF!</f>
        <v>#REF!</v>
      </c>
      <c r="E15" s="3" t="e">
        <f>#REF!</f>
        <v>#REF!</v>
      </c>
      <c r="F15" s="4" t="str">
        <f>IFERROR(VLOOKUP(ROWS($F$2:F15),$C$2:$E$151,2,FALSE),"")</f>
        <v/>
      </c>
      <c r="G15" s="4" t="str">
        <f>IFERROR(VLOOKUP(ROWS($F$2:F15),$C$2:$E$151,3,FALSE),"")</f>
        <v/>
      </c>
      <c r="I15" s="3">
        <f>IF(ISNUMBER(SEARCH(#REF!,J15)),MAX($I$1:I14)+1,0)</f>
        <v>0</v>
      </c>
      <c r="J15" s="3" t="e">
        <f>#REF!</f>
        <v>#REF!</v>
      </c>
      <c r="K15" s="3" t="e">
        <f>#REF!</f>
        <v>#REF!</v>
      </c>
      <c r="L15" s="4" t="str">
        <f>IFERROR(VLOOKUP(ROWS($L$2:L15),$I$2:$K$151,2,FALSE),"")</f>
        <v/>
      </c>
      <c r="M15" s="4" t="str">
        <f>IFERROR(VLOOKUP(ROWS($L$2:L15),$I$2:$K$151,3,FALSE),"")</f>
        <v/>
      </c>
      <c r="O15" s="3">
        <f>IF(ISNUMBER(SEARCH(#REF!,P15)),MAX($O$1:O14)+1,0)</f>
        <v>0</v>
      </c>
      <c r="P15" s="3" t="e">
        <f>#REF!</f>
        <v>#REF!</v>
      </c>
      <c r="Q15" s="3" t="e">
        <f>#REF!</f>
        <v>#REF!</v>
      </c>
      <c r="R15" s="4" t="str">
        <f>IFERROR(VLOOKUP(ROWS($R$2:R15),$O$2:$Q$151,2,FALSE),"")</f>
        <v/>
      </c>
      <c r="S15" s="4" t="str">
        <f>IFERROR(VLOOKUP(ROWS($R$2:R15),$O$2:$Q$151,3,FALSE),"")</f>
        <v/>
      </c>
      <c r="U15" s="5">
        <f>IF(ISNUMBER(SEARCH(#REF!,V15)),MAX($U$1:U14)+1,0)</f>
        <v>0</v>
      </c>
      <c r="V15" s="5" t="e">
        <f>#REF!</f>
        <v>#REF!</v>
      </c>
      <c r="W15" s="5" t="e">
        <f>#REF!</f>
        <v>#REF!</v>
      </c>
      <c r="X15" s="6" t="str">
        <f>IFERROR(VLOOKUP(ROWS($X$2:X15),$U$2:$W$151,2,FALSE),"")</f>
        <v/>
      </c>
      <c r="Y15" s="6" t="str">
        <f>IFERROR(VLOOKUP(ROWS($X$2:X15),$U$2:$W$151,3,FALSE),"")</f>
        <v/>
      </c>
      <c r="AA15" s="5">
        <f>IF(ISNUMBER(SEARCH(#REF!,AB15)),MAX($AA$1:AA14)+1,0)</f>
        <v>0</v>
      </c>
      <c r="AB15" s="5" t="e">
        <f>#REF!</f>
        <v>#REF!</v>
      </c>
      <c r="AC15" s="5" t="e">
        <f>#REF!</f>
        <v>#REF!</v>
      </c>
      <c r="AD15" s="6" t="str">
        <f>IFERROR(VLOOKUP(ROWS($AD$2:AD15),$AA$2:$AC$151,2,FALSE),"")</f>
        <v/>
      </c>
      <c r="AE15" s="6" t="str">
        <f>IFERROR(VLOOKUP(ROWS($AD$2:AD15),$AA$2:$AC$151,3,FALSE),"")</f>
        <v/>
      </c>
      <c r="AG15" s="7">
        <f>IF(ISNUMBER(SEARCH(#REF!,AH15)),MAX($AG$1:AG14)+1,0)</f>
        <v>0</v>
      </c>
      <c r="AH15" s="7" t="e">
        <f>#REF!</f>
        <v>#REF!</v>
      </c>
      <c r="AI15" s="7" t="e">
        <f>#REF!</f>
        <v>#REF!</v>
      </c>
      <c r="AJ15" s="8" t="str">
        <f>IFERROR(VLOOKUP(ROWS(AJ$2:AJ15),$AG$2:$AI$151,2,FALSE),"")</f>
        <v/>
      </c>
      <c r="AK15" s="8" t="str">
        <f>IFERROR(VLOOKUP(ROWS($AJ$2:AJ15),$AG$2:$AI$151,3,FALSE),"")</f>
        <v/>
      </c>
      <c r="AM15" s="7">
        <f>IF(ISNUMBER(SEARCH(#REF!,AN15)),MAX($AM$1:AM14)+1,0)</f>
        <v>0</v>
      </c>
      <c r="AN15" s="7" t="e">
        <f>#REF!</f>
        <v>#REF!</v>
      </c>
      <c r="AO15" s="7" t="e">
        <f>#REF!</f>
        <v>#REF!</v>
      </c>
      <c r="AP15" s="8" t="str">
        <f>IFERROR(VLOOKUP(ROWS($AP$2:AP15),$AM$2:$AO$151,2,FALSE),"")</f>
        <v/>
      </c>
      <c r="AQ15" s="8" t="str">
        <f>IFERROR(VLOOKUP(ROWS($AP$2:AP15),$AM$2:$AO$151,3,FALSE),"")</f>
        <v/>
      </c>
      <c r="AS15" s="9">
        <f>IF(ISNUMBER(SEARCH(#REF!,AT15)),MAX($AS$1:AS14)+1,0)</f>
        <v>0</v>
      </c>
      <c r="AT15" s="9" t="e">
        <f>#REF!</f>
        <v>#REF!</v>
      </c>
      <c r="AU15" s="9" t="e">
        <f>#REF!</f>
        <v>#REF!</v>
      </c>
      <c r="AV15" s="10" t="str">
        <f>IFERROR(VLOOKUP(ROWS(AV$2:AV15),$AS$2:$AU$151,2,FALSE),"")</f>
        <v/>
      </c>
      <c r="AW15" s="10" t="str">
        <f>IFERROR(VLOOKUP(ROWS($AV$2:AV15),$AS$2:$AU$151,3,FALSE),"")</f>
        <v/>
      </c>
      <c r="AY15" s="9">
        <f>IF(ISNUMBER(SEARCH(#REF!,AZ15)),MAX($AY$1:AY14)+1,0)</f>
        <v>0</v>
      </c>
      <c r="AZ15" s="9" t="e">
        <f>#REF!</f>
        <v>#REF!</v>
      </c>
      <c r="BA15" s="9" t="e">
        <f>#REF!</f>
        <v>#REF!</v>
      </c>
      <c r="BB15" s="10" t="str">
        <f>IFERROR(VLOOKUP(ROWS($BB$2:BB15),$AY$2:$BA$151,2,FALSE),"")</f>
        <v/>
      </c>
      <c r="BC15" s="10" t="str">
        <f>IFERROR(VLOOKUP(ROWS($BB$2:BB15),$AY$2:$BA$151,3,FALSE),"")</f>
        <v/>
      </c>
    </row>
    <row r="16" spans="1:61" x14ac:dyDescent="0.25">
      <c r="C16" s="3">
        <f>IF(ISNUMBER(SEARCH(#REF!,D16)),MAX($C$1:C15)+1,0)</f>
        <v>0</v>
      </c>
      <c r="D16" s="3" t="e">
        <f>#REF!</f>
        <v>#REF!</v>
      </c>
      <c r="E16" s="3" t="e">
        <f>#REF!</f>
        <v>#REF!</v>
      </c>
      <c r="F16" s="4" t="str">
        <f>IFERROR(VLOOKUP(ROWS($F$2:F16),$C$2:$E$151,2,FALSE),"")</f>
        <v/>
      </c>
      <c r="G16" s="4" t="str">
        <f>IFERROR(VLOOKUP(ROWS($F$2:F16),$C$2:$E$151,3,FALSE),"")</f>
        <v/>
      </c>
      <c r="I16" s="3">
        <f>IF(ISNUMBER(SEARCH(#REF!,J16)),MAX($I$1:I15)+1,0)</f>
        <v>0</v>
      </c>
      <c r="J16" s="3" t="e">
        <f>#REF!</f>
        <v>#REF!</v>
      </c>
      <c r="K16" s="3" t="e">
        <f>#REF!</f>
        <v>#REF!</v>
      </c>
      <c r="L16" s="4" t="str">
        <f>IFERROR(VLOOKUP(ROWS($L$2:L16),$I$2:$K$151,2,FALSE),"")</f>
        <v/>
      </c>
      <c r="M16" s="4" t="str">
        <f>IFERROR(VLOOKUP(ROWS($L$2:L16),$I$2:$K$151,3,FALSE),"")</f>
        <v/>
      </c>
      <c r="O16" s="3">
        <f>IF(ISNUMBER(SEARCH(#REF!,P16)),MAX($O$1:O15)+1,0)</f>
        <v>0</v>
      </c>
      <c r="P16" s="3" t="e">
        <f>#REF!</f>
        <v>#REF!</v>
      </c>
      <c r="Q16" s="3" t="e">
        <f>#REF!</f>
        <v>#REF!</v>
      </c>
      <c r="R16" s="4" t="str">
        <f>IFERROR(VLOOKUP(ROWS($R$2:R16),$O$2:$Q$151,2,FALSE),"")</f>
        <v/>
      </c>
      <c r="S16" s="4" t="str">
        <f>IFERROR(VLOOKUP(ROWS($R$2:R16),$O$2:$Q$151,3,FALSE),"")</f>
        <v/>
      </c>
      <c r="U16" s="5">
        <f>IF(ISNUMBER(SEARCH(#REF!,V16)),MAX($U$1:U15)+1,0)</f>
        <v>0</v>
      </c>
      <c r="V16" s="5" t="e">
        <f>#REF!</f>
        <v>#REF!</v>
      </c>
      <c r="W16" s="5" t="e">
        <f>#REF!</f>
        <v>#REF!</v>
      </c>
      <c r="X16" s="6" t="str">
        <f>IFERROR(VLOOKUP(ROWS($X$2:X16),$U$2:$W$151,2,FALSE),"")</f>
        <v/>
      </c>
      <c r="Y16" s="6" t="str">
        <f>IFERROR(VLOOKUP(ROWS($X$2:X16),$U$2:$W$151,3,FALSE),"")</f>
        <v/>
      </c>
      <c r="AA16" s="5">
        <f>IF(ISNUMBER(SEARCH(#REF!,AB16)),MAX($AA$1:AA15)+1,0)</f>
        <v>0</v>
      </c>
      <c r="AB16" s="5" t="e">
        <f>#REF!</f>
        <v>#REF!</v>
      </c>
      <c r="AC16" s="5" t="e">
        <f>#REF!</f>
        <v>#REF!</v>
      </c>
      <c r="AD16" s="6" t="str">
        <f>IFERROR(VLOOKUP(ROWS($AD$2:AD16),$AA$2:$AC$151,2,FALSE),"")</f>
        <v/>
      </c>
      <c r="AE16" s="6" t="str">
        <f>IFERROR(VLOOKUP(ROWS($AD$2:AD16),$AA$2:$AC$151,3,FALSE),"")</f>
        <v/>
      </c>
      <c r="AG16" s="7">
        <f>IF(ISNUMBER(SEARCH(#REF!,AH16)),MAX($AG$1:AG15)+1,0)</f>
        <v>0</v>
      </c>
      <c r="AH16" s="7" t="e">
        <f>#REF!</f>
        <v>#REF!</v>
      </c>
      <c r="AI16" s="7" t="e">
        <f>#REF!</f>
        <v>#REF!</v>
      </c>
      <c r="AJ16" s="8" t="str">
        <f>IFERROR(VLOOKUP(ROWS(AJ$2:AJ16),$AG$2:$AI$151,2,FALSE),"")</f>
        <v/>
      </c>
      <c r="AK16" s="8" t="str">
        <f>IFERROR(VLOOKUP(ROWS($AJ$2:AJ16),$AG$2:$AI$151,3,FALSE),"")</f>
        <v/>
      </c>
      <c r="AM16" s="7">
        <f>IF(ISNUMBER(SEARCH(#REF!,AN16)),MAX($AM$1:AM15)+1,0)</f>
        <v>0</v>
      </c>
      <c r="AN16" s="7" t="e">
        <f>#REF!</f>
        <v>#REF!</v>
      </c>
      <c r="AO16" s="7" t="e">
        <f>#REF!</f>
        <v>#REF!</v>
      </c>
      <c r="AP16" s="8" t="str">
        <f>IFERROR(VLOOKUP(ROWS($AP$2:AP16),$AM$2:$AO$151,2,FALSE),"")</f>
        <v/>
      </c>
      <c r="AQ16" s="8" t="str">
        <f>IFERROR(VLOOKUP(ROWS($AP$2:AP16),$AM$2:$AO$151,3,FALSE),"")</f>
        <v/>
      </c>
      <c r="AS16" s="9">
        <f>IF(ISNUMBER(SEARCH(#REF!,AT16)),MAX($AS$1:AS15)+1,0)</f>
        <v>0</v>
      </c>
      <c r="AT16" s="9" t="e">
        <f>#REF!</f>
        <v>#REF!</v>
      </c>
      <c r="AU16" s="9" t="e">
        <f>#REF!</f>
        <v>#REF!</v>
      </c>
      <c r="AV16" s="10" t="str">
        <f>IFERROR(VLOOKUP(ROWS(AV$2:AV16),$AS$2:$AU$151,2,FALSE),"")</f>
        <v/>
      </c>
      <c r="AW16" s="10" t="str">
        <f>IFERROR(VLOOKUP(ROWS($AV$2:AV16),$AS$2:$AU$151,3,FALSE),"")</f>
        <v/>
      </c>
      <c r="AY16" s="9">
        <f>IF(ISNUMBER(SEARCH(#REF!,AZ16)),MAX($AY$1:AY15)+1,0)</f>
        <v>0</v>
      </c>
      <c r="AZ16" s="9" t="e">
        <f>#REF!</f>
        <v>#REF!</v>
      </c>
      <c r="BA16" s="9" t="e">
        <f>#REF!</f>
        <v>#REF!</v>
      </c>
      <c r="BB16" s="10" t="str">
        <f>IFERROR(VLOOKUP(ROWS($BB$2:BB16),$AY$2:$BA$151,2,FALSE),"")</f>
        <v/>
      </c>
      <c r="BC16" s="10" t="str">
        <f>IFERROR(VLOOKUP(ROWS($BB$2:BB16),$AY$2:$BA$151,3,FALSE),"")</f>
        <v/>
      </c>
    </row>
    <row r="17" spans="3:55" x14ac:dyDescent="0.25">
      <c r="C17" s="3">
        <f>IF(ISNUMBER(SEARCH(#REF!,D17)),MAX($C$1:C16)+1,0)</f>
        <v>0</v>
      </c>
      <c r="D17" s="3" t="e">
        <f>#REF!</f>
        <v>#REF!</v>
      </c>
      <c r="E17" s="3" t="e">
        <f>#REF!</f>
        <v>#REF!</v>
      </c>
      <c r="F17" s="4" t="str">
        <f>IFERROR(VLOOKUP(ROWS($F$2:F17),$C$2:$E$151,2,FALSE),"")</f>
        <v/>
      </c>
      <c r="G17" s="4" t="str">
        <f>IFERROR(VLOOKUP(ROWS($F$2:F17),$C$2:$E$151,3,FALSE),"")</f>
        <v/>
      </c>
      <c r="I17" s="3">
        <f>IF(ISNUMBER(SEARCH(#REF!,J17)),MAX($I$1:I16)+1,0)</f>
        <v>0</v>
      </c>
      <c r="J17" s="3" t="e">
        <f>#REF!</f>
        <v>#REF!</v>
      </c>
      <c r="K17" s="3" t="e">
        <f>#REF!</f>
        <v>#REF!</v>
      </c>
      <c r="L17" s="4" t="str">
        <f>IFERROR(VLOOKUP(ROWS($L$2:L17),$I$2:$K$151,2,FALSE),"")</f>
        <v/>
      </c>
      <c r="M17" s="4" t="str">
        <f>IFERROR(VLOOKUP(ROWS($L$2:L17),$I$2:$K$151,3,FALSE),"")</f>
        <v/>
      </c>
      <c r="O17" s="3">
        <f>IF(ISNUMBER(SEARCH(#REF!,P17)),MAX($O$1:O16)+1,0)</f>
        <v>0</v>
      </c>
      <c r="P17" s="3" t="e">
        <f>#REF!</f>
        <v>#REF!</v>
      </c>
      <c r="Q17" s="3" t="e">
        <f>#REF!</f>
        <v>#REF!</v>
      </c>
      <c r="R17" s="4" t="str">
        <f>IFERROR(VLOOKUP(ROWS($R$2:R17),$O$2:$Q$151,2,FALSE),"")</f>
        <v/>
      </c>
      <c r="S17" s="4" t="str">
        <f>IFERROR(VLOOKUP(ROWS($R$2:R17),$O$2:$Q$151,3,FALSE),"")</f>
        <v/>
      </c>
      <c r="U17" s="5">
        <f>IF(ISNUMBER(SEARCH(#REF!,V17)),MAX($U$1:U16)+1,0)</f>
        <v>0</v>
      </c>
      <c r="V17" s="5" t="e">
        <f>#REF!</f>
        <v>#REF!</v>
      </c>
      <c r="W17" s="5" t="e">
        <f>#REF!</f>
        <v>#REF!</v>
      </c>
      <c r="X17" s="6" t="str">
        <f>IFERROR(VLOOKUP(ROWS($X$2:X17),$U$2:$W$151,2,FALSE),"")</f>
        <v/>
      </c>
      <c r="Y17" s="6" t="str">
        <f>IFERROR(VLOOKUP(ROWS($X$2:X17),$U$2:$W$151,3,FALSE),"")</f>
        <v/>
      </c>
      <c r="AA17" s="5">
        <f>IF(ISNUMBER(SEARCH(#REF!,AB17)),MAX($AA$1:AA16)+1,0)</f>
        <v>0</v>
      </c>
      <c r="AB17" s="5" t="e">
        <f>#REF!</f>
        <v>#REF!</v>
      </c>
      <c r="AC17" s="5" t="e">
        <f>#REF!</f>
        <v>#REF!</v>
      </c>
      <c r="AD17" s="6" t="str">
        <f>IFERROR(VLOOKUP(ROWS($AD$2:AD17),$AA$2:$AC$151,2,FALSE),"")</f>
        <v/>
      </c>
      <c r="AE17" s="6" t="str">
        <f>IFERROR(VLOOKUP(ROWS($AD$2:AD17),$AA$2:$AC$151,3,FALSE),"")</f>
        <v/>
      </c>
      <c r="AG17" s="7">
        <f>IF(ISNUMBER(SEARCH(#REF!,AH17)),MAX($AG$1:AG16)+1,0)</f>
        <v>0</v>
      </c>
      <c r="AH17" s="7" t="e">
        <f>#REF!</f>
        <v>#REF!</v>
      </c>
      <c r="AI17" s="7" t="e">
        <f>#REF!</f>
        <v>#REF!</v>
      </c>
      <c r="AJ17" s="8" t="str">
        <f>IFERROR(VLOOKUP(ROWS(AJ$2:AJ17),$AG$2:$AI$151,2,FALSE),"")</f>
        <v/>
      </c>
      <c r="AK17" s="8" t="str">
        <f>IFERROR(VLOOKUP(ROWS($AJ$2:AJ17),$AG$2:$AI$151,3,FALSE),"")</f>
        <v/>
      </c>
      <c r="AM17" s="7">
        <f>IF(ISNUMBER(SEARCH(#REF!,AN17)),MAX($AM$1:AM16)+1,0)</f>
        <v>0</v>
      </c>
      <c r="AN17" s="7" t="e">
        <f>#REF!</f>
        <v>#REF!</v>
      </c>
      <c r="AO17" s="7" t="e">
        <f>#REF!</f>
        <v>#REF!</v>
      </c>
      <c r="AP17" s="8" t="str">
        <f>IFERROR(VLOOKUP(ROWS($AP$2:AP17),$AM$2:$AO$151,2,FALSE),"")</f>
        <v/>
      </c>
      <c r="AQ17" s="8" t="str">
        <f>IFERROR(VLOOKUP(ROWS($AP$2:AP17),$AM$2:$AO$151,3,FALSE),"")</f>
        <v/>
      </c>
      <c r="AS17" s="9">
        <f>IF(ISNUMBER(SEARCH(#REF!,AT17)),MAX($AS$1:AS16)+1,0)</f>
        <v>0</v>
      </c>
      <c r="AT17" s="9" t="e">
        <f>#REF!</f>
        <v>#REF!</v>
      </c>
      <c r="AU17" s="9" t="e">
        <f>#REF!</f>
        <v>#REF!</v>
      </c>
      <c r="AV17" s="10" t="str">
        <f>IFERROR(VLOOKUP(ROWS(AV$2:AV17),$AS$2:$AU$151,2,FALSE),"")</f>
        <v/>
      </c>
      <c r="AW17" s="10" t="str">
        <f>IFERROR(VLOOKUP(ROWS($AV$2:AV17),$AS$2:$AU$151,3,FALSE),"")</f>
        <v/>
      </c>
      <c r="AY17" s="9">
        <f>IF(ISNUMBER(SEARCH(#REF!,AZ17)),MAX($AY$1:AY16)+1,0)</f>
        <v>0</v>
      </c>
      <c r="AZ17" s="9" t="e">
        <f>#REF!</f>
        <v>#REF!</v>
      </c>
      <c r="BA17" s="9" t="e">
        <f>#REF!</f>
        <v>#REF!</v>
      </c>
      <c r="BB17" s="10" t="str">
        <f>IFERROR(VLOOKUP(ROWS($BB$2:BB17),$AY$2:$BA$151,2,FALSE),"")</f>
        <v/>
      </c>
      <c r="BC17" s="10" t="str">
        <f>IFERROR(VLOOKUP(ROWS($BB$2:BB17),$AY$2:$BA$151,3,FALSE),"")</f>
        <v/>
      </c>
    </row>
    <row r="18" spans="3:55" x14ac:dyDescent="0.25">
      <c r="C18" s="3">
        <f>IF(ISNUMBER(SEARCH(#REF!,D18)),MAX($C$1:C17)+1,0)</f>
        <v>0</v>
      </c>
      <c r="D18" s="3" t="e">
        <f>#REF!</f>
        <v>#REF!</v>
      </c>
      <c r="E18" s="3" t="e">
        <f>#REF!</f>
        <v>#REF!</v>
      </c>
      <c r="F18" s="4" t="str">
        <f>IFERROR(VLOOKUP(ROWS($F$2:F18),$C$2:$E$151,2,FALSE),"")</f>
        <v/>
      </c>
      <c r="G18" s="4" t="str">
        <f>IFERROR(VLOOKUP(ROWS($F$2:F18),$C$2:$E$151,3,FALSE),"")</f>
        <v/>
      </c>
      <c r="I18" s="3">
        <f>IF(ISNUMBER(SEARCH(#REF!,J18)),MAX($I$1:I17)+1,0)</f>
        <v>0</v>
      </c>
      <c r="J18" s="3" t="e">
        <f>#REF!</f>
        <v>#REF!</v>
      </c>
      <c r="K18" s="3" t="e">
        <f>#REF!</f>
        <v>#REF!</v>
      </c>
      <c r="L18" s="4" t="str">
        <f>IFERROR(VLOOKUP(ROWS($L$2:L18),$I$2:$K$151,2,FALSE),"")</f>
        <v/>
      </c>
      <c r="M18" s="4" t="str">
        <f>IFERROR(VLOOKUP(ROWS($L$2:L18),$I$2:$K$151,3,FALSE),"")</f>
        <v/>
      </c>
      <c r="O18" s="3">
        <f>IF(ISNUMBER(SEARCH(#REF!,P18)),MAX($O$1:O17)+1,0)</f>
        <v>0</v>
      </c>
      <c r="P18" s="3" t="e">
        <f>#REF!</f>
        <v>#REF!</v>
      </c>
      <c r="Q18" s="3" t="e">
        <f>#REF!</f>
        <v>#REF!</v>
      </c>
      <c r="R18" s="4" t="str">
        <f>IFERROR(VLOOKUP(ROWS($R$2:R18),$O$2:$Q$151,2,FALSE),"")</f>
        <v/>
      </c>
      <c r="S18" s="4" t="str">
        <f>IFERROR(VLOOKUP(ROWS($R$2:R18),$O$2:$Q$151,3,FALSE),"")</f>
        <v/>
      </c>
      <c r="U18" s="5">
        <f>IF(ISNUMBER(SEARCH(#REF!,V18)),MAX($U$1:U17)+1,0)</f>
        <v>0</v>
      </c>
      <c r="V18" s="5" t="e">
        <f>#REF!</f>
        <v>#REF!</v>
      </c>
      <c r="W18" s="5" t="e">
        <f>#REF!</f>
        <v>#REF!</v>
      </c>
      <c r="X18" s="6" t="str">
        <f>IFERROR(VLOOKUP(ROWS($X$2:X18),$U$2:$W$151,2,FALSE),"")</f>
        <v/>
      </c>
      <c r="Y18" s="6" t="str">
        <f>IFERROR(VLOOKUP(ROWS($X$2:X18),$U$2:$W$151,3,FALSE),"")</f>
        <v/>
      </c>
      <c r="AA18" s="5">
        <f>IF(ISNUMBER(SEARCH(#REF!,AB18)),MAX($AA$1:AA17)+1,0)</f>
        <v>0</v>
      </c>
      <c r="AB18" s="5" t="e">
        <f>#REF!</f>
        <v>#REF!</v>
      </c>
      <c r="AC18" s="5" t="e">
        <f>#REF!</f>
        <v>#REF!</v>
      </c>
      <c r="AD18" s="6" t="str">
        <f>IFERROR(VLOOKUP(ROWS($AD$2:AD18),$AA$2:$AC$151,2,FALSE),"")</f>
        <v/>
      </c>
      <c r="AE18" s="6" t="str">
        <f>IFERROR(VLOOKUP(ROWS($AD$2:AD18),$AA$2:$AC$151,3,FALSE),"")</f>
        <v/>
      </c>
      <c r="AG18" s="7">
        <f>IF(ISNUMBER(SEARCH(#REF!,AH18)),MAX($AG$1:AG17)+1,0)</f>
        <v>0</v>
      </c>
      <c r="AH18" s="7" t="e">
        <f>#REF!</f>
        <v>#REF!</v>
      </c>
      <c r="AI18" s="7" t="e">
        <f>#REF!</f>
        <v>#REF!</v>
      </c>
      <c r="AJ18" s="8" t="str">
        <f>IFERROR(VLOOKUP(ROWS(AJ$2:AJ18),$AG$2:$AI$151,2,FALSE),"")</f>
        <v/>
      </c>
      <c r="AK18" s="8" t="str">
        <f>IFERROR(VLOOKUP(ROWS($AJ$2:AJ18),$AG$2:$AI$151,3,FALSE),"")</f>
        <v/>
      </c>
      <c r="AM18" s="7">
        <f>IF(ISNUMBER(SEARCH(#REF!,AN18)),MAX($AM$1:AM17)+1,0)</f>
        <v>0</v>
      </c>
      <c r="AN18" s="7" t="e">
        <f>#REF!</f>
        <v>#REF!</v>
      </c>
      <c r="AO18" s="7" t="e">
        <f>#REF!</f>
        <v>#REF!</v>
      </c>
      <c r="AP18" s="8" t="str">
        <f>IFERROR(VLOOKUP(ROWS($AP$2:AP18),$AM$2:$AO$151,2,FALSE),"")</f>
        <v/>
      </c>
      <c r="AQ18" s="8" t="str">
        <f>IFERROR(VLOOKUP(ROWS($AP$2:AP18),$AM$2:$AO$151,3,FALSE),"")</f>
        <v/>
      </c>
      <c r="AS18" s="9">
        <f>IF(ISNUMBER(SEARCH(#REF!,AT18)),MAX($AS$1:AS17)+1,0)</f>
        <v>0</v>
      </c>
      <c r="AT18" s="9" t="e">
        <f>#REF!</f>
        <v>#REF!</v>
      </c>
      <c r="AU18" s="9" t="e">
        <f>#REF!</f>
        <v>#REF!</v>
      </c>
      <c r="AV18" s="10" t="str">
        <f>IFERROR(VLOOKUP(ROWS(AV$2:AV18),$AS$2:$AU$151,2,FALSE),"")</f>
        <v/>
      </c>
      <c r="AW18" s="10" t="str">
        <f>IFERROR(VLOOKUP(ROWS($AV$2:AV18),$AS$2:$AU$151,3,FALSE),"")</f>
        <v/>
      </c>
      <c r="AY18" s="9">
        <f>IF(ISNUMBER(SEARCH(#REF!,AZ18)),MAX($AY$1:AY17)+1,0)</f>
        <v>0</v>
      </c>
      <c r="AZ18" s="9" t="e">
        <f>#REF!</f>
        <v>#REF!</v>
      </c>
      <c r="BA18" s="9" t="e">
        <f>#REF!</f>
        <v>#REF!</v>
      </c>
      <c r="BB18" s="10" t="str">
        <f>IFERROR(VLOOKUP(ROWS($BB$2:BB18),$AY$2:$BA$151,2,FALSE),"")</f>
        <v/>
      </c>
      <c r="BC18" s="10" t="str">
        <f>IFERROR(VLOOKUP(ROWS($BB$2:BB18),$AY$2:$BA$151,3,FALSE),"")</f>
        <v/>
      </c>
    </row>
    <row r="19" spans="3:55" x14ac:dyDescent="0.25">
      <c r="C19" s="3">
        <f>IF(ISNUMBER(SEARCH(#REF!,D19)),MAX($C$1:C18)+1,0)</f>
        <v>0</v>
      </c>
      <c r="D19" s="3" t="e">
        <f>#REF!</f>
        <v>#REF!</v>
      </c>
      <c r="E19" s="3" t="e">
        <f>#REF!</f>
        <v>#REF!</v>
      </c>
      <c r="F19" s="4" t="str">
        <f>IFERROR(VLOOKUP(ROWS($F$2:F19),$C$2:$E$151,2,FALSE),"")</f>
        <v/>
      </c>
      <c r="G19" s="4" t="str">
        <f>IFERROR(VLOOKUP(ROWS($F$2:F19),$C$2:$E$151,3,FALSE),"")</f>
        <v/>
      </c>
      <c r="I19" s="3">
        <f>IF(ISNUMBER(SEARCH(#REF!,J19)),MAX($I$1:I18)+1,0)</f>
        <v>0</v>
      </c>
      <c r="J19" s="3" t="e">
        <f>#REF!</f>
        <v>#REF!</v>
      </c>
      <c r="K19" s="3" t="e">
        <f>#REF!</f>
        <v>#REF!</v>
      </c>
      <c r="L19" s="4" t="str">
        <f>IFERROR(VLOOKUP(ROWS($L$2:L19),$I$2:$K$151,2,FALSE),"")</f>
        <v/>
      </c>
      <c r="M19" s="4" t="str">
        <f>IFERROR(VLOOKUP(ROWS($L$2:L19),$I$2:$K$151,3,FALSE),"")</f>
        <v/>
      </c>
      <c r="O19" s="3">
        <f>IF(ISNUMBER(SEARCH(#REF!,P19)),MAX($O$1:O18)+1,0)</f>
        <v>0</v>
      </c>
      <c r="P19" s="3" t="e">
        <f>#REF!</f>
        <v>#REF!</v>
      </c>
      <c r="Q19" s="3" t="e">
        <f>#REF!</f>
        <v>#REF!</v>
      </c>
      <c r="R19" s="4" t="str">
        <f>IFERROR(VLOOKUP(ROWS($R$2:R19),$O$2:$Q$151,2,FALSE),"")</f>
        <v/>
      </c>
      <c r="S19" s="4" t="str">
        <f>IFERROR(VLOOKUP(ROWS($R$2:R19),$O$2:$Q$151,3,FALSE),"")</f>
        <v/>
      </c>
      <c r="U19" s="5">
        <f>IF(ISNUMBER(SEARCH(#REF!,V19)),MAX($U$1:U18)+1,0)</f>
        <v>0</v>
      </c>
      <c r="V19" s="5" t="e">
        <f>#REF!</f>
        <v>#REF!</v>
      </c>
      <c r="W19" s="5" t="e">
        <f>#REF!</f>
        <v>#REF!</v>
      </c>
      <c r="X19" s="6" t="str">
        <f>IFERROR(VLOOKUP(ROWS($X$2:X19),$U$2:$W$151,2,FALSE),"")</f>
        <v/>
      </c>
      <c r="Y19" s="6" t="str">
        <f>IFERROR(VLOOKUP(ROWS($X$2:X19),$U$2:$W$151,3,FALSE),"")</f>
        <v/>
      </c>
      <c r="AA19" s="5">
        <f>IF(ISNUMBER(SEARCH(#REF!,AB19)),MAX($AA$1:AA18)+1,0)</f>
        <v>0</v>
      </c>
      <c r="AB19" s="5" t="e">
        <f>#REF!</f>
        <v>#REF!</v>
      </c>
      <c r="AC19" s="5" t="e">
        <f>#REF!</f>
        <v>#REF!</v>
      </c>
      <c r="AD19" s="6" t="str">
        <f>IFERROR(VLOOKUP(ROWS($AD$2:AD19),$AA$2:$AC$151,2,FALSE),"")</f>
        <v/>
      </c>
      <c r="AE19" s="6" t="str">
        <f>IFERROR(VLOOKUP(ROWS($AD$2:AD19),$AA$2:$AC$151,3,FALSE),"")</f>
        <v/>
      </c>
      <c r="AG19" s="7">
        <f>IF(ISNUMBER(SEARCH(#REF!,AH19)),MAX($AG$1:AG18)+1,0)</f>
        <v>0</v>
      </c>
      <c r="AH19" s="7" t="e">
        <f>#REF!</f>
        <v>#REF!</v>
      </c>
      <c r="AI19" s="7" t="e">
        <f>#REF!</f>
        <v>#REF!</v>
      </c>
      <c r="AJ19" s="8" t="str">
        <f>IFERROR(VLOOKUP(ROWS(AJ$2:AJ19),$AG$2:$AI$151,2,FALSE),"")</f>
        <v/>
      </c>
      <c r="AK19" s="8" t="str">
        <f>IFERROR(VLOOKUP(ROWS($AJ$2:AJ19),$AG$2:$AI$151,3,FALSE),"")</f>
        <v/>
      </c>
      <c r="AM19" s="7">
        <f>IF(ISNUMBER(SEARCH(#REF!,AN19)),MAX($AM$1:AM18)+1,0)</f>
        <v>0</v>
      </c>
      <c r="AN19" s="7" t="e">
        <f>#REF!</f>
        <v>#REF!</v>
      </c>
      <c r="AO19" s="7" t="e">
        <f>#REF!</f>
        <v>#REF!</v>
      </c>
      <c r="AP19" s="8" t="str">
        <f>IFERROR(VLOOKUP(ROWS($AP$2:AP19),$AM$2:$AO$151,2,FALSE),"")</f>
        <v/>
      </c>
      <c r="AQ19" s="8" t="str">
        <f>IFERROR(VLOOKUP(ROWS($AP$2:AP19),$AM$2:$AO$151,3,FALSE),"")</f>
        <v/>
      </c>
      <c r="AS19" s="9">
        <f>IF(ISNUMBER(SEARCH(#REF!,AT19)),MAX($AS$1:AS18)+1,0)</f>
        <v>0</v>
      </c>
      <c r="AT19" s="9" t="e">
        <f>#REF!</f>
        <v>#REF!</v>
      </c>
      <c r="AU19" s="9" t="e">
        <f>#REF!</f>
        <v>#REF!</v>
      </c>
      <c r="AV19" s="10" t="str">
        <f>IFERROR(VLOOKUP(ROWS(AV$2:AV19),$AS$2:$AU$151,2,FALSE),"")</f>
        <v/>
      </c>
      <c r="AW19" s="10" t="str">
        <f>IFERROR(VLOOKUP(ROWS($AV$2:AV19),$AS$2:$AU$151,3,FALSE),"")</f>
        <v/>
      </c>
      <c r="AY19" s="9">
        <f>IF(ISNUMBER(SEARCH(#REF!,AZ19)),MAX($AY$1:AY18)+1,0)</f>
        <v>0</v>
      </c>
      <c r="AZ19" s="9" t="e">
        <f>#REF!</f>
        <v>#REF!</v>
      </c>
      <c r="BA19" s="9" t="e">
        <f>#REF!</f>
        <v>#REF!</v>
      </c>
      <c r="BB19" s="10" t="str">
        <f>IFERROR(VLOOKUP(ROWS($BB$2:BB19),$AY$2:$BA$151,2,FALSE),"")</f>
        <v/>
      </c>
      <c r="BC19" s="10" t="str">
        <f>IFERROR(VLOOKUP(ROWS($BB$2:BB19),$AY$2:$BA$151,3,FALSE),"")</f>
        <v/>
      </c>
    </row>
    <row r="20" spans="3:55" x14ac:dyDescent="0.25">
      <c r="C20" s="3">
        <f>IF(ISNUMBER(SEARCH(#REF!,D20)),MAX($C$1:C19)+1,0)</f>
        <v>0</v>
      </c>
      <c r="D20" s="3" t="e">
        <f>#REF!</f>
        <v>#REF!</v>
      </c>
      <c r="E20" s="3" t="e">
        <f>#REF!</f>
        <v>#REF!</v>
      </c>
      <c r="F20" s="4" t="str">
        <f>IFERROR(VLOOKUP(ROWS($F$2:F20),$C$2:$E$151,2,FALSE),"")</f>
        <v/>
      </c>
      <c r="G20" s="4" t="str">
        <f>IFERROR(VLOOKUP(ROWS($F$2:F20),$C$2:$E$151,3,FALSE),"")</f>
        <v/>
      </c>
      <c r="I20" s="3">
        <f>IF(ISNUMBER(SEARCH(#REF!,J20)),MAX($I$1:I19)+1,0)</f>
        <v>0</v>
      </c>
      <c r="J20" s="3" t="e">
        <f>#REF!</f>
        <v>#REF!</v>
      </c>
      <c r="K20" s="3" t="e">
        <f>#REF!</f>
        <v>#REF!</v>
      </c>
      <c r="L20" s="4" t="str">
        <f>IFERROR(VLOOKUP(ROWS($L$2:L20),$I$2:$K$151,2,FALSE),"")</f>
        <v/>
      </c>
      <c r="M20" s="4" t="str">
        <f>IFERROR(VLOOKUP(ROWS($L$2:L20),$I$2:$K$151,3,FALSE),"")</f>
        <v/>
      </c>
      <c r="O20" s="3">
        <f>IF(ISNUMBER(SEARCH(#REF!,P20)),MAX($O$1:O19)+1,0)</f>
        <v>0</v>
      </c>
      <c r="P20" s="3" t="e">
        <f>#REF!</f>
        <v>#REF!</v>
      </c>
      <c r="Q20" s="3" t="e">
        <f>#REF!</f>
        <v>#REF!</v>
      </c>
      <c r="R20" s="4" t="str">
        <f>IFERROR(VLOOKUP(ROWS($R$2:R20),$O$2:$Q$151,2,FALSE),"")</f>
        <v/>
      </c>
      <c r="S20" s="4" t="str">
        <f>IFERROR(VLOOKUP(ROWS($R$2:R20),$O$2:$Q$151,3,FALSE),"")</f>
        <v/>
      </c>
      <c r="U20" s="5">
        <f>IF(ISNUMBER(SEARCH(#REF!,V20)),MAX($U$1:U19)+1,0)</f>
        <v>0</v>
      </c>
      <c r="V20" s="5" t="e">
        <f>#REF!</f>
        <v>#REF!</v>
      </c>
      <c r="W20" s="5" t="e">
        <f>#REF!</f>
        <v>#REF!</v>
      </c>
      <c r="X20" s="6" t="str">
        <f>IFERROR(VLOOKUP(ROWS($X$2:X20),$U$2:$W$151,2,FALSE),"")</f>
        <v/>
      </c>
      <c r="Y20" s="6" t="str">
        <f>IFERROR(VLOOKUP(ROWS($X$2:X20),$U$2:$W$151,3,FALSE),"")</f>
        <v/>
      </c>
      <c r="AA20" s="5">
        <f>IF(ISNUMBER(SEARCH(#REF!,AB20)),MAX($AA$1:AA19)+1,0)</f>
        <v>0</v>
      </c>
      <c r="AB20" s="5" t="e">
        <f>#REF!</f>
        <v>#REF!</v>
      </c>
      <c r="AC20" s="5" t="e">
        <f>#REF!</f>
        <v>#REF!</v>
      </c>
      <c r="AD20" s="6" t="str">
        <f>IFERROR(VLOOKUP(ROWS($AD$2:AD20),$AA$2:$AC$151,2,FALSE),"")</f>
        <v/>
      </c>
      <c r="AE20" s="6" t="str">
        <f>IFERROR(VLOOKUP(ROWS($AD$2:AD20),$AA$2:$AC$151,3,FALSE),"")</f>
        <v/>
      </c>
      <c r="AG20" s="7">
        <f>IF(ISNUMBER(SEARCH(#REF!,AH20)),MAX($AG$1:AG19)+1,0)</f>
        <v>0</v>
      </c>
      <c r="AH20" s="7" t="e">
        <f>#REF!</f>
        <v>#REF!</v>
      </c>
      <c r="AI20" s="7" t="e">
        <f>#REF!</f>
        <v>#REF!</v>
      </c>
      <c r="AJ20" s="8" t="str">
        <f>IFERROR(VLOOKUP(ROWS(AJ$2:AJ20),$AG$2:$AI$151,2,FALSE),"")</f>
        <v/>
      </c>
      <c r="AK20" s="8" t="str">
        <f>IFERROR(VLOOKUP(ROWS($AJ$2:AJ20),$AG$2:$AI$151,3,FALSE),"")</f>
        <v/>
      </c>
      <c r="AM20" s="7">
        <f>IF(ISNUMBER(SEARCH(#REF!,AN20)),MAX($AM$1:AM19)+1,0)</f>
        <v>0</v>
      </c>
      <c r="AN20" s="7" t="e">
        <f>#REF!</f>
        <v>#REF!</v>
      </c>
      <c r="AO20" s="7" t="e">
        <f>#REF!</f>
        <v>#REF!</v>
      </c>
      <c r="AP20" s="8" t="str">
        <f>IFERROR(VLOOKUP(ROWS($AP$2:AP20),$AM$2:$AO$151,2,FALSE),"")</f>
        <v/>
      </c>
      <c r="AQ20" s="8" t="str">
        <f>IFERROR(VLOOKUP(ROWS($AP$2:AP20),$AM$2:$AO$151,3,FALSE),"")</f>
        <v/>
      </c>
      <c r="AS20" s="9">
        <f>IF(ISNUMBER(SEARCH(#REF!,AT20)),MAX($AS$1:AS19)+1,0)</f>
        <v>0</v>
      </c>
      <c r="AT20" s="9" t="e">
        <f>#REF!</f>
        <v>#REF!</v>
      </c>
      <c r="AU20" s="9" t="e">
        <f>#REF!</f>
        <v>#REF!</v>
      </c>
      <c r="AV20" s="10" t="str">
        <f>IFERROR(VLOOKUP(ROWS(AV$2:AV20),$AS$2:$AU$151,2,FALSE),"")</f>
        <v/>
      </c>
      <c r="AW20" s="10" t="str">
        <f>IFERROR(VLOOKUP(ROWS($AV$2:AV20),$AS$2:$AU$151,3,FALSE),"")</f>
        <v/>
      </c>
      <c r="AY20" s="9">
        <f>IF(ISNUMBER(SEARCH(#REF!,AZ20)),MAX($AY$1:AY19)+1,0)</f>
        <v>0</v>
      </c>
      <c r="AZ20" s="9" t="e">
        <f>#REF!</f>
        <v>#REF!</v>
      </c>
      <c r="BA20" s="9" t="e">
        <f>#REF!</f>
        <v>#REF!</v>
      </c>
      <c r="BB20" s="10" t="str">
        <f>IFERROR(VLOOKUP(ROWS($BB$2:BB20),$AY$2:$BA$151,2,FALSE),"")</f>
        <v/>
      </c>
      <c r="BC20" s="10" t="str">
        <f>IFERROR(VLOOKUP(ROWS($BB$2:BB20),$AY$2:$BA$151,3,FALSE),"")</f>
        <v/>
      </c>
    </row>
    <row r="21" spans="3:55" x14ac:dyDescent="0.25">
      <c r="C21" s="3">
        <f>IF(ISNUMBER(SEARCH(#REF!,D21)),MAX($C$1:C20)+1,0)</f>
        <v>0</v>
      </c>
      <c r="D21" s="3" t="e">
        <f>#REF!</f>
        <v>#REF!</v>
      </c>
      <c r="E21" s="3" t="e">
        <f>#REF!</f>
        <v>#REF!</v>
      </c>
      <c r="F21" s="4" t="str">
        <f>IFERROR(VLOOKUP(ROWS($F$2:F21),$C$2:$E$151,2,FALSE),"")</f>
        <v/>
      </c>
      <c r="G21" s="4" t="str">
        <f>IFERROR(VLOOKUP(ROWS($F$2:F21),$C$2:$E$151,3,FALSE),"")</f>
        <v/>
      </c>
      <c r="I21" s="3">
        <f>IF(ISNUMBER(SEARCH(#REF!,J21)),MAX($I$1:I20)+1,0)</f>
        <v>0</v>
      </c>
      <c r="J21" s="3" t="e">
        <f>#REF!</f>
        <v>#REF!</v>
      </c>
      <c r="K21" s="3" t="e">
        <f>#REF!</f>
        <v>#REF!</v>
      </c>
      <c r="L21" s="4" t="str">
        <f>IFERROR(VLOOKUP(ROWS($L$2:L21),$I$2:$K$151,2,FALSE),"")</f>
        <v/>
      </c>
      <c r="M21" s="4" t="str">
        <f>IFERROR(VLOOKUP(ROWS($L$2:L21),$I$2:$K$151,3,FALSE),"")</f>
        <v/>
      </c>
      <c r="O21" s="3">
        <f>IF(ISNUMBER(SEARCH(#REF!,P21)),MAX($O$1:O20)+1,0)</f>
        <v>0</v>
      </c>
      <c r="P21" s="3" t="e">
        <f>#REF!</f>
        <v>#REF!</v>
      </c>
      <c r="Q21" s="3" t="e">
        <f>#REF!</f>
        <v>#REF!</v>
      </c>
      <c r="R21" s="4" t="str">
        <f>IFERROR(VLOOKUP(ROWS($R$2:R21),$O$2:$Q$151,2,FALSE),"")</f>
        <v/>
      </c>
      <c r="S21" s="4" t="str">
        <f>IFERROR(VLOOKUP(ROWS($R$2:R21),$O$2:$Q$151,3,FALSE),"")</f>
        <v/>
      </c>
      <c r="U21" s="5">
        <f>IF(ISNUMBER(SEARCH(#REF!,V21)),MAX($U$1:U20)+1,0)</f>
        <v>0</v>
      </c>
      <c r="V21" s="5" t="e">
        <f>#REF!</f>
        <v>#REF!</v>
      </c>
      <c r="W21" s="5" t="e">
        <f>#REF!</f>
        <v>#REF!</v>
      </c>
      <c r="X21" s="6" t="str">
        <f>IFERROR(VLOOKUP(ROWS($X$2:X21),$U$2:$W$151,2,FALSE),"")</f>
        <v/>
      </c>
      <c r="Y21" s="6" t="str">
        <f>IFERROR(VLOOKUP(ROWS($X$2:X21),$U$2:$W$151,3,FALSE),"")</f>
        <v/>
      </c>
      <c r="AA21" s="5">
        <f>IF(ISNUMBER(SEARCH(#REF!,AB21)),MAX($AA$1:AA20)+1,0)</f>
        <v>0</v>
      </c>
      <c r="AB21" s="5" t="e">
        <f>#REF!</f>
        <v>#REF!</v>
      </c>
      <c r="AC21" s="5" t="e">
        <f>#REF!</f>
        <v>#REF!</v>
      </c>
      <c r="AD21" s="6" t="str">
        <f>IFERROR(VLOOKUP(ROWS($AD$2:AD21),$AA$2:$AC$151,2,FALSE),"")</f>
        <v/>
      </c>
      <c r="AE21" s="6" t="str">
        <f>IFERROR(VLOOKUP(ROWS($AD$2:AD21),$AA$2:$AC$151,3,FALSE),"")</f>
        <v/>
      </c>
      <c r="AG21" s="7">
        <f>IF(ISNUMBER(SEARCH(#REF!,AH21)),MAX($AG$1:AG20)+1,0)</f>
        <v>0</v>
      </c>
      <c r="AH21" s="7" t="e">
        <f>#REF!</f>
        <v>#REF!</v>
      </c>
      <c r="AI21" s="7" t="e">
        <f>#REF!</f>
        <v>#REF!</v>
      </c>
      <c r="AJ21" s="8" t="str">
        <f>IFERROR(VLOOKUP(ROWS(AJ$2:AJ21),$AG$2:$AI$151,2,FALSE),"")</f>
        <v/>
      </c>
      <c r="AK21" s="8" t="str">
        <f>IFERROR(VLOOKUP(ROWS($AJ$2:AJ21),$AG$2:$AI$151,3,FALSE),"")</f>
        <v/>
      </c>
      <c r="AM21" s="7">
        <f>IF(ISNUMBER(SEARCH(#REF!,AN21)),MAX($AM$1:AM20)+1,0)</f>
        <v>0</v>
      </c>
      <c r="AN21" s="7" t="e">
        <f>#REF!</f>
        <v>#REF!</v>
      </c>
      <c r="AO21" s="7" t="e">
        <f>#REF!</f>
        <v>#REF!</v>
      </c>
      <c r="AP21" s="8" t="str">
        <f>IFERROR(VLOOKUP(ROWS($AP$2:AP21),$AM$2:$AO$151,2,FALSE),"")</f>
        <v/>
      </c>
      <c r="AQ21" s="8" t="str">
        <f>IFERROR(VLOOKUP(ROWS($AP$2:AP21),$AM$2:$AO$151,3,FALSE),"")</f>
        <v/>
      </c>
      <c r="AS21" s="9">
        <f>IF(ISNUMBER(SEARCH(#REF!,AT21)),MAX($AS$1:AS20)+1,0)</f>
        <v>0</v>
      </c>
      <c r="AT21" s="9" t="e">
        <f>#REF!</f>
        <v>#REF!</v>
      </c>
      <c r="AU21" s="9" t="e">
        <f>#REF!</f>
        <v>#REF!</v>
      </c>
      <c r="AV21" s="10" t="str">
        <f>IFERROR(VLOOKUP(ROWS(AV$2:AV21),$AS$2:$AU$151,2,FALSE),"")</f>
        <v/>
      </c>
      <c r="AW21" s="10" t="str">
        <f>IFERROR(VLOOKUP(ROWS($AV$2:AV21),$AS$2:$AU$151,3,FALSE),"")</f>
        <v/>
      </c>
      <c r="AY21" s="9">
        <f>IF(ISNUMBER(SEARCH(#REF!,AZ21)),MAX($AY$1:AY20)+1,0)</f>
        <v>0</v>
      </c>
      <c r="AZ21" s="9" t="e">
        <f>#REF!</f>
        <v>#REF!</v>
      </c>
      <c r="BA21" s="9" t="e">
        <f>#REF!</f>
        <v>#REF!</v>
      </c>
      <c r="BB21" s="10" t="str">
        <f>IFERROR(VLOOKUP(ROWS($BB$2:BB21),$AY$2:$BA$151,2,FALSE),"")</f>
        <v/>
      </c>
      <c r="BC21" s="10" t="str">
        <f>IFERROR(VLOOKUP(ROWS($BB$2:BB21),$AY$2:$BA$151,3,FALSE),"")</f>
        <v/>
      </c>
    </row>
    <row r="22" spans="3:55" x14ac:dyDescent="0.25">
      <c r="C22" s="3">
        <f>IF(ISNUMBER(SEARCH(#REF!,D22)),MAX($C$1:C21)+1,0)</f>
        <v>0</v>
      </c>
      <c r="D22" s="3" t="e">
        <f>#REF!</f>
        <v>#REF!</v>
      </c>
      <c r="E22" s="3" t="e">
        <f>#REF!</f>
        <v>#REF!</v>
      </c>
      <c r="F22" s="4" t="str">
        <f>IFERROR(VLOOKUP(ROWS($F$2:F22),$C$2:$E$151,2,FALSE),"")</f>
        <v/>
      </c>
      <c r="G22" s="4" t="str">
        <f>IFERROR(VLOOKUP(ROWS($F$2:F22),$C$2:$E$151,3,FALSE),"")</f>
        <v/>
      </c>
      <c r="I22" s="3">
        <f>IF(ISNUMBER(SEARCH(#REF!,J22)),MAX($I$1:I21)+1,0)</f>
        <v>0</v>
      </c>
      <c r="J22" s="3" t="e">
        <f>#REF!</f>
        <v>#REF!</v>
      </c>
      <c r="K22" s="3" t="e">
        <f>#REF!</f>
        <v>#REF!</v>
      </c>
      <c r="L22" s="4" t="str">
        <f>IFERROR(VLOOKUP(ROWS($L$2:L22),$I$2:$K$151,2,FALSE),"")</f>
        <v/>
      </c>
      <c r="M22" s="4" t="str">
        <f>IFERROR(VLOOKUP(ROWS($L$2:L22),$I$2:$K$151,3,FALSE),"")</f>
        <v/>
      </c>
      <c r="O22" s="3">
        <f>IF(ISNUMBER(SEARCH(#REF!,P22)),MAX($O$1:O21)+1,0)</f>
        <v>0</v>
      </c>
      <c r="P22" s="3" t="e">
        <f>#REF!</f>
        <v>#REF!</v>
      </c>
      <c r="Q22" s="3" t="e">
        <f>#REF!</f>
        <v>#REF!</v>
      </c>
      <c r="R22" s="4" t="str">
        <f>IFERROR(VLOOKUP(ROWS($R$2:R22),$O$2:$Q$151,2,FALSE),"")</f>
        <v/>
      </c>
      <c r="S22" s="4" t="str">
        <f>IFERROR(VLOOKUP(ROWS($R$2:R22),$O$2:$Q$151,3,FALSE),"")</f>
        <v/>
      </c>
      <c r="U22" s="5">
        <f>IF(ISNUMBER(SEARCH(#REF!,V22)),MAX($U$1:U21)+1,0)</f>
        <v>0</v>
      </c>
      <c r="V22" s="5" t="e">
        <f>#REF!</f>
        <v>#REF!</v>
      </c>
      <c r="W22" s="5" t="e">
        <f>#REF!</f>
        <v>#REF!</v>
      </c>
      <c r="X22" s="6" t="str">
        <f>IFERROR(VLOOKUP(ROWS($X$2:X22),$U$2:$W$151,2,FALSE),"")</f>
        <v/>
      </c>
      <c r="Y22" s="6" t="str">
        <f>IFERROR(VLOOKUP(ROWS($X$2:X22),$U$2:$W$151,3,FALSE),"")</f>
        <v/>
      </c>
      <c r="AA22" s="5">
        <f>IF(ISNUMBER(SEARCH(#REF!,AB22)),MAX($AA$1:AA21)+1,0)</f>
        <v>0</v>
      </c>
      <c r="AB22" s="5" t="e">
        <f>#REF!</f>
        <v>#REF!</v>
      </c>
      <c r="AC22" s="5" t="e">
        <f>#REF!</f>
        <v>#REF!</v>
      </c>
      <c r="AD22" s="6" t="str">
        <f>IFERROR(VLOOKUP(ROWS($AD$2:AD22),$AA$2:$AC$151,2,FALSE),"")</f>
        <v/>
      </c>
      <c r="AE22" s="6" t="str">
        <f>IFERROR(VLOOKUP(ROWS($AD$2:AD22),$AA$2:$AC$151,3,FALSE),"")</f>
        <v/>
      </c>
      <c r="AG22" s="7">
        <f>IF(ISNUMBER(SEARCH(#REF!,AH22)),MAX($AG$1:AG21)+1,0)</f>
        <v>0</v>
      </c>
      <c r="AH22" s="7" t="e">
        <f>#REF!</f>
        <v>#REF!</v>
      </c>
      <c r="AI22" s="7" t="e">
        <f>#REF!</f>
        <v>#REF!</v>
      </c>
      <c r="AJ22" s="8" t="str">
        <f>IFERROR(VLOOKUP(ROWS(AJ$2:AJ22),$AG$2:$AI$151,2,FALSE),"")</f>
        <v/>
      </c>
      <c r="AK22" s="8" t="str">
        <f>IFERROR(VLOOKUP(ROWS($AJ$2:AJ22),$AG$2:$AI$151,3,FALSE),"")</f>
        <v/>
      </c>
      <c r="AM22" s="7">
        <f>IF(ISNUMBER(SEARCH(#REF!,AN22)),MAX($AM$1:AM21)+1,0)</f>
        <v>0</v>
      </c>
      <c r="AN22" s="7" t="e">
        <f>#REF!</f>
        <v>#REF!</v>
      </c>
      <c r="AO22" s="7" t="e">
        <f>#REF!</f>
        <v>#REF!</v>
      </c>
      <c r="AP22" s="8" t="str">
        <f>IFERROR(VLOOKUP(ROWS($AP$2:AP22),$AM$2:$AO$151,2,FALSE),"")</f>
        <v/>
      </c>
      <c r="AQ22" s="8" t="str">
        <f>IFERROR(VLOOKUP(ROWS($AP$2:AP22),$AM$2:$AO$151,3,FALSE),"")</f>
        <v/>
      </c>
      <c r="AS22" s="9">
        <f>IF(ISNUMBER(SEARCH(#REF!,AT22)),MAX($AS$1:AS21)+1,0)</f>
        <v>0</v>
      </c>
      <c r="AT22" s="9" t="e">
        <f>#REF!</f>
        <v>#REF!</v>
      </c>
      <c r="AU22" s="9" t="e">
        <f>#REF!</f>
        <v>#REF!</v>
      </c>
      <c r="AV22" s="10" t="str">
        <f>IFERROR(VLOOKUP(ROWS(AV$2:AV22),$AS$2:$AU$151,2,FALSE),"")</f>
        <v/>
      </c>
      <c r="AW22" s="10" t="str">
        <f>IFERROR(VLOOKUP(ROWS($AV$2:AV22),$AS$2:$AU$151,3,FALSE),"")</f>
        <v/>
      </c>
      <c r="AY22" s="9">
        <f>IF(ISNUMBER(SEARCH(#REF!,AZ22)),MAX($AY$1:AY21)+1,0)</f>
        <v>0</v>
      </c>
      <c r="AZ22" s="9" t="e">
        <f>#REF!</f>
        <v>#REF!</v>
      </c>
      <c r="BA22" s="9" t="e">
        <f>#REF!</f>
        <v>#REF!</v>
      </c>
      <c r="BB22" s="10" t="str">
        <f>IFERROR(VLOOKUP(ROWS($BB$2:BB22),$AY$2:$BA$151,2,FALSE),"")</f>
        <v/>
      </c>
      <c r="BC22" s="10" t="str">
        <f>IFERROR(VLOOKUP(ROWS($BB$2:BB22),$AY$2:$BA$151,3,FALSE),"")</f>
        <v/>
      </c>
    </row>
    <row r="23" spans="3:55" x14ac:dyDescent="0.25">
      <c r="C23" s="3">
        <f>IF(ISNUMBER(SEARCH(#REF!,D23)),MAX($C$1:C22)+1,0)</f>
        <v>0</v>
      </c>
      <c r="D23" s="3" t="e">
        <f>#REF!</f>
        <v>#REF!</v>
      </c>
      <c r="E23" s="3" t="e">
        <f>#REF!</f>
        <v>#REF!</v>
      </c>
      <c r="F23" s="4" t="str">
        <f>IFERROR(VLOOKUP(ROWS($F$2:F23),$C$2:$E$151,2,FALSE),"")</f>
        <v/>
      </c>
      <c r="G23" s="4" t="str">
        <f>IFERROR(VLOOKUP(ROWS($F$2:F23),$C$2:$E$151,3,FALSE),"")</f>
        <v/>
      </c>
      <c r="I23" s="3">
        <f>IF(ISNUMBER(SEARCH(#REF!,J23)),MAX($I$1:I22)+1,0)</f>
        <v>0</v>
      </c>
      <c r="J23" s="3" t="e">
        <f>#REF!</f>
        <v>#REF!</v>
      </c>
      <c r="K23" s="3" t="e">
        <f>#REF!</f>
        <v>#REF!</v>
      </c>
      <c r="L23" s="4" t="str">
        <f>IFERROR(VLOOKUP(ROWS($L$2:L23),$I$2:$K$151,2,FALSE),"")</f>
        <v/>
      </c>
      <c r="M23" s="4" t="str">
        <f>IFERROR(VLOOKUP(ROWS($L$2:L23),$I$2:$K$151,3,FALSE),"")</f>
        <v/>
      </c>
      <c r="O23" s="3">
        <f>IF(ISNUMBER(SEARCH(#REF!,P23)),MAX($O$1:O22)+1,0)</f>
        <v>0</v>
      </c>
      <c r="P23" s="3" t="e">
        <f>#REF!</f>
        <v>#REF!</v>
      </c>
      <c r="Q23" s="3" t="e">
        <f>#REF!</f>
        <v>#REF!</v>
      </c>
      <c r="R23" s="4" t="str">
        <f>IFERROR(VLOOKUP(ROWS($R$2:R23),$O$2:$Q$151,2,FALSE),"")</f>
        <v/>
      </c>
      <c r="S23" s="4" t="str">
        <f>IFERROR(VLOOKUP(ROWS($R$2:R23),$O$2:$Q$151,3,FALSE),"")</f>
        <v/>
      </c>
      <c r="U23" s="5">
        <f>IF(ISNUMBER(SEARCH(#REF!,V23)),MAX($U$1:U22)+1,0)</f>
        <v>0</v>
      </c>
      <c r="V23" s="5" t="e">
        <f>#REF!</f>
        <v>#REF!</v>
      </c>
      <c r="W23" s="5" t="e">
        <f>#REF!</f>
        <v>#REF!</v>
      </c>
      <c r="X23" s="6" t="str">
        <f>IFERROR(VLOOKUP(ROWS($X$2:X23),$U$2:$W$151,2,FALSE),"")</f>
        <v/>
      </c>
      <c r="Y23" s="6" t="str">
        <f>IFERROR(VLOOKUP(ROWS($X$2:X23),$U$2:$W$151,3,FALSE),"")</f>
        <v/>
      </c>
      <c r="AA23" s="5">
        <f>IF(ISNUMBER(SEARCH(#REF!,AB23)),MAX($AA$1:AA22)+1,0)</f>
        <v>0</v>
      </c>
      <c r="AB23" s="5" t="e">
        <f>#REF!</f>
        <v>#REF!</v>
      </c>
      <c r="AC23" s="5" t="e">
        <f>#REF!</f>
        <v>#REF!</v>
      </c>
      <c r="AD23" s="6" t="str">
        <f>IFERROR(VLOOKUP(ROWS($AD$2:AD23),$AA$2:$AC$151,2,FALSE),"")</f>
        <v/>
      </c>
      <c r="AE23" s="6" t="str">
        <f>IFERROR(VLOOKUP(ROWS($AD$2:AD23),$AA$2:$AC$151,3,FALSE),"")</f>
        <v/>
      </c>
      <c r="AG23" s="7">
        <f>IF(ISNUMBER(SEARCH(#REF!,AH23)),MAX($AG$1:AG22)+1,0)</f>
        <v>0</v>
      </c>
      <c r="AH23" s="7" t="e">
        <f>#REF!</f>
        <v>#REF!</v>
      </c>
      <c r="AI23" s="7" t="e">
        <f>#REF!</f>
        <v>#REF!</v>
      </c>
      <c r="AJ23" s="8" t="str">
        <f>IFERROR(VLOOKUP(ROWS(AJ$2:AJ23),$AG$2:$AI$151,2,FALSE),"")</f>
        <v/>
      </c>
      <c r="AK23" s="8" t="str">
        <f>IFERROR(VLOOKUP(ROWS($AJ$2:AJ23),$AG$2:$AI$151,3,FALSE),"")</f>
        <v/>
      </c>
      <c r="AM23" s="7">
        <f>IF(ISNUMBER(SEARCH(#REF!,AN23)),MAX($AM$1:AM22)+1,0)</f>
        <v>0</v>
      </c>
      <c r="AN23" s="7" t="e">
        <f>#REF!</f>
        <v>#REF!</v>
      </c>
      <c r="AO23" s="7" t="e">
        <f>#REF!</f>
        <v>#REF!</v>
      </c>
      <c r="AP23" s="8" t="str">
        <f>IFERROR(VLOOKUP(ROWS($AP$2:AP23),$AM$2:$AO$151,2,FALSE),"")</f>
        <v/>
      </c>
      <c r="AQ23" s="8" t="str">
        <f>IFERROR(VLOOKUP(ROWS($AP$2:AP23),$AM$2:$AO$151,3,FALSE),"")</f>
        <v/>
      </c>
      <c r="AS23" s="9">
        <f>IF(ISNUMBER(SEARCH(#REF!,AT23)),MAX($AS$1:AS22)+1,0)</f>
        <v>0</v>
      </c>
      <c r="AT23" s="9" t="e">
        <f>#REF!</f>
        <v>#REF!</v>
      </c>
      <c r="AU23" s="9" t="e">
        <f>#REF!</f>
        <v>#REF!</v>
      </c>
      <c r="AV23" s="10" t="str">
        <f>IFERROR(VLOOKUP(ROWS(AV$2:AV23),$AS$2:$AU$151,2,FALSE),"")</f>
        <v/>
      </c>
      <c r="AW23" s="10" t="str">
        <f>IFERROR(VLOOKUP(ROWS($AV$2:AV23),$AS$2:$AU$151,3,FALSE),"")</f>
        <v/>
      </c>
      <c r="AY23" s="9">
        <f>IF(ISNUMBER(SEARCH(#REF!,AZ23)),MAX($AY$1:AY22)+1,0)</f>
        <v>0</v>
      </c>
      <c r="AZ23" s="9" t="e">
        <f>#REF!</f>
        <v>#REF!</v>
      </c>
      <c r="BA23" s="9" t="e">
        <f>#REF!</f>
        <v>#REF!</v>
      </c>
      <c r="BB23" s="10" t="str">
        <f>IFERROR(VLOOKUP(ROWS($BB$2:BB23),$AY$2:$BA$151,2,FALSE),"")</f>
        <v/>
      </c>
      <c r="BC23" s="10" t="str">
        <f>IFERROR(VLOOKUP(ROWS($BB$2:BB23),$AY$2:$BA$151,3,FALSE),"")</f>
        <v/>
      </c>
    </row>
    <row r="24" spans="3:55" x14ac:dyDescent="0.25">
      <c r="C24" s="3">
        <f>IF(ISNUMBER(SEARCH(#REF!,D24)),MAX($C$1:C23)+1,0)</f>
        <v>0</v>
      </c>
      <c r="D24" s="3" t="e">
        <f>#REF!</f>
        <v>#REF!</v>
      </c>
      <c r="E24" s="3" t="e">
        <f>#REF!</f>
        <v>#REF!</v>
      </c>
      <c r="F24" s="4" t="str">
        <f>IFERROR(VLOOKUP(ROWS($F$2:F24),$C$2:$E$151,2,FALSE),"")</f>
        <v/>
      </c>
      <c r="G24" s="4" t="str">
        <f>IFERROR(VLOOKUP(ROWS($F$2:F24),$C$2:$E$151,3,FALSE),"")</f>
        <v/>
      </c>
      <c r="I24" s="3">
        <f>IF(ISNUMBER(SEARCH(#REF!,J24)),MAX($I$1:I23)+1,0)</f>
        <v>0</v>
      </c>
      <c r="J24" s="3" t="e">
        <f>#REF!</f>
        <v>#REF!</v>
      </c>
      <c r="K24" s="3" t="e">
        <f>#REF!</f>
        <v>#REF!</v>
      </c>
      <c r="L24" s="4" t="str">
        <f>IFERROR(VLOOKUP(ROWS($L$2:L24),$I$2:$K$151,2,FALSE),"")</f>
        <v/>
      </c>
      <c r="M24" s="4" t="str">
        <f>IFERROR(VLOOKUP(ROWS($L$2:L24),$I$2:$K$151,3,FALSE),"")</f>
        <v/>
      </c>
      <c r="O24" s="3">
        <f>IF(ISNUMBER(SEARCH(#REF!,P24)),MAX($O$1:O23)+1,0)</f>
        <v>0</v>
      </c>
      <c r="P24" s="3" t="e">
        <f>#REF!</f>
        <v>#REF!</v>
      </c>
      <c r="Q24" s="3" t="e">
        <f>#REF!</f>
        <v>#REF!</v>
      </c>
      <c r="R24" s="4" t="str">
        <f>IFERROR(VLOOKUP(ROWS($R$2:R24),$O$2:$Q$151,2,FALSE),"")</f>
        <v/>
      </c>
      <c r="S24" s="4" t="str">
        <f>IFERROR(VLOOKUP(ROWS($R$2:R24),$O$2:$Q$151,3,FALSE),"")</f>
        <v/>
      </c>
      <c r="U24" s="5">
        <f>IF(ISNUMBER(SEARCH(#REF!,V24)),MAX($U$1:U23)+1,0)</f>
        <v>0</v>
      </c>
      <c r="V24" s="5" t="e">
        <f>#REF!</f>
        <v>#REF!</v>
      </c>
      <c r="W24" s="5" t="e">
        <f>#REF!</f>
        <v>#REF!</v>
      </c>
      <c r="X24" s="6" t="str">
        <f>IFERROR(VLOOKUP(ROWS($X$2:X24),$U$2:$W$151,2,FALSE),"")</f>
        <v/>
      </c>
      <c r="Y24" s="6" t="str">
        <f>IFERROR(VLOOKUP(ROWS($X$2:X24),$U$2:$W$151,3,FALSE),"")</f>
        <v/>
      </c>
      <c r="AA24" s="5">
        <f>IF(ISNUMBER(SEARCH(#REF!,AB24)),MAX($AA$1:AA23)+1,0)</f>
        <v>0</v>
      </c>
      <c r="AB24" s="5" t="e">
        <f>#REF!</f>
        <v>#REF!</v>
      </c>
      <c r="AC24" s="5" t="e">
        <f>#REF!</f>
        <v>#REF!</v>
      </c>
      <c r="AD24" s="6" t="str">
        <f>IFERROR(VLOOKUP(ROWS($AD$2:AD24),$AA$2:$AC$151,2,FALSE),"")</f>
        <v/>
      </c>
      <c r="AE24" s="6" t="str">
        <f>IFERROR(VLOOKUP(ROWS($AD$2:AD24),$AA$2:$AC$151,3,FALSE),"")</f>
        <v/>
      </c>
      <c r="AG24" s="7">
        <f>IF(ISNUMBER(SEARCH(#REF!,AH24)),MAX($AG$1:AG23)+1,0)</f>
        <v>0</v>
      </c>
      <c r="AH24" s="7" t="e">
        <f>#REF!</f>
        <v>#REF!</v>
      </c>
      <c r="AI24" s="7" t="e">
        <f>#REF!</f>
        <v>#REF!</v>
      </c>
      <c r="AJ24" s="8" t="str">
        <f>IFERROR(VLOOKUP(ROWS(AJ$2:AJ24),$AG$2:$AI$151,2,FALSE),"")</f>
        <v/>
      </c>
      <c r="AK24" s="8" t="str">
        <f>IFERROR(VLOOKUP(ROWS($AJ$2:AJ24),$AG$2:$AI$151,3,FALSE),"")</f>
        <v/>
      </c>
      <c r="AM24" s="7">
        <f>IF(ISNUMBER(SEARCH(#REF!,AN24)),MAX($AM$1:AM23)+1,0)</f>
        <v>0</v>
      </c>
      <c r="AN24" s="7" t="e">
        <f>#REF!</f>
        <v>#REF!</v>
      </c>
      <c r="AO24" s="7" t="e">
        <f>#REF!</f>
        <v>#REF!</v>
      </c>
      <c r="AP24" s="8" t="str">
        <f>IFERROR(VLOOKUP(ROWS($AP$2:AP24),$AM$2:$AO$151,2,FALSE),"")</f>
        <v/>
      </c>
      <c r="AQ24" s="8" t="str">
        <f>IFERROR(VLOOKUP(ROWS($AP$2:AP24),$AM$2:$AO$151,3,FALSE),"")</f>
        <v/>
      </c>
      <c r="AS24" s="9">
        <f>IF(ISNUMBER(SEARCH(#REF!,AT24)),MAX($AS$1:AS23)+1,0)</f>
        <v>0</v>
      </c>
      <c r="AT24" s="9" t="e">
        <f>#REF!</f>
        <v>#REF!</v>
      </c>
      <c r="AU24" s="9" t="e">
        <f>#REF!</f>
        <v>#REF!</v>
      </c>
      <c r="AV24" s="10" t="str">
        <f>IFERROR(VLOOKUP(ROWS(AV$2:AV24),$AS$2:$AU$151,2,FALSE),"")</f>
        <v/>
      </c>
      <c r="AW24" s="10" t="str">
        <f>IFERROR(VLOOKUP(ROWS($AV$2:AV24),$AS$2:$AU$151,3,FALSE),"")</f>
        <v/>
      </c>
      <c r="AY24" s="9">
        <f>IF(ISNUMBER(SEARCH(#REF!,AZ24)),MAX($AY$1:AY23)+1,0)</f>
        <v>0</v>
      </c>
      <c r="AZ24" s="9" t="e">
        <f>#REF!</f>
        <v>#REF!</v>
      </c>
      <c r="BA24" s="9" t="e">
        <f>#REF!</f>
        <v>#REF!</v>
      </c>
      <c r="BB24" s="10" t="str">
        <f>IFERROR(VLOOKUP(ROWS($BB$2:BB24),$AY$2:$BA$151,2,FALSE),"")</f>
        <v/>
      </c>
      <c r="BC24" s="10" t="str">
        <f>IFERROR(VLOOKUP(ROWS($BB$2:BB24),$AY$2:$BA$151,3,FALSE),"")</f>
        <v/>
      </c>
    </row>
    <row r="25" spans="3:55" x14ac:dyDescent="0.25">
      <c r="C25" s="3">
        <f>IF(ISNUMBER(SEARCH(#REF!,D25)),MAX($C$1:C24)+1,0)</f>
        <v>0</v>
      </c>
      <c r="D25" s="3" t="e">
        <f>#REF!</f>
        <v>#REF!</v>
      </c>
      <c r="E25" s="3" t="e">
        <f>#REF!</f>
        <v>#REF!</v>
      </c>
      <c r="F25" s="4" t="str">
        <f>IFERROR(VLOOKUP(ROWS($F$2:F25),$C$2:$E$151,2,FALSE),"")</f>
        <v/>
      </c>
      <c r="G25" s="4" t="str">
        <f>IFERROR(VLOOKUP(ROWS($F$2:F25),$C$2:$E$151,3,FALSE),"")</f>
        <v/>
      </c>
      <c r="I25" s="3">
        <f>IF(ISNUMBER(SEARCH(#REF!,J25)),MAX($I$1:I24)+1,0)</f>
        <v>0</v>
      </c>
      <c r="J25" s="3" t="e">
        <f>#REF!</f>
        <v>#REF!</v>
      </c>
      <c r="K25" s="3" t="e">
        <f>#REF!</f>
        <v>#REF!</v>
      </c>
      <c r="L25" s="4" t="str">
        <f>IFERROR(VLOOKUP(ROWS($L$2:L25),$I$2:$K$151,2,FALSE),"")</f>
        <v/>
      </c>
      <c r="M25" s="4" t="str">
        <f>IFERROR(VLOOKUP(ROWS($L$2:L25),$I$2:$K$151,3,FALSE),"")</f>
        <v/>
      </c>
      <c r="O25" s="3">
        <f>IF(ISNUMBER(SEARCH(#REF!,P25)),MAX($O$1:O24)+1,0)</f>
        <v>0</v>
      </c>
      <c r="P25" s="3" t="e">
        <f>#REF!</f>
        <v>#REF!</v>
      </c>
      <c r="Q25" s="3" t="e">
        <f>#REF!</f>
        <v>#REF!</v>
      </c>
      <c r="R25" s="4" t="str">
        <f>IFERROR(VLOOKUP(ROWS($R$2:R25),$O$2:$Q$151,2,FALSE),"")</f>
        <v/>
      </c>
      <c r="S25" s="4" t="str">
        <f>IFERROR(VLOOKUP(ROWS($R$2:R25),$O$2:$Q$151,3,FALSE),"")</f>
        <v/>
      </c>
      <c r="U25" s="5">
        <f>IF(ISNUMBER(SEARCH(#REF!,V25)),MAX($U$1:U24)+1,0)</f>
        <v>0</v>
      </c>
      <c r="V25" s="5" t="e">
        <f>#REF!</f>
        <v>#REF!</v>
      </c>
      <c r="W25" s="5" t="e">
        <f>#REF!</f>
        <v>#REF!</v>
      </c>
      <c r="X25" s="6" t="str">
        <f>IFERROR(VLOOKUP(ROWS($X$2:X25),$U$2:$W$151,2,FALSE),"")</f>
        <v/>
      </c>
      <c r="Y25" s="6" t="str">
        <f>IFERROR(VLOOKUP(ROWS($X$2:X25),$U$2:$W$151,3,FALSE),"")</f>
        <v/>
      </c>
      <c r="AA25" s="5">
        <f>IF(ISNUMBER(SEARCH(#REF!,AB25)),MAX($AA$1:AA24)+1,0)</f>
        <v>0</v>
      </c>
      <c r="AB25" s="5" t="e">
        <f>#REF!</f>
        <v>#REF!</v>
      </c>
      <c r="AC25" s="5" t="e">
        <f>#REF!</f>
        <v>#REF!</v>
      </c>
      <c r="AD25" s="6" t="str">
        <f>IFERROR(VLOOKUP(ROWS($AD$2:AD25),$AA$2:$AC$151,2,FALSE),"")</f>
        <v/>
      </c>
      <c r="AE25" s="6" t="str">
        <f>IFERROR(VLOOKUP(ROWS($AD$2:AD25),$AA$2:$AC$151,3,FALSE),"")</f>
        <v/>
      </c>
      <c r="AG25" s="7">
        <f>IF(ISNUMBER(SEARCH(#REF!,AH25)),MAX($AG$1:AG24)+1,0)</f>
        <v>0</v>
      </c>
      <c r="AH25" s="7" t="e">
        <f>#REF!</f>
        <v>#REF!</v>
      </c>
      <c r="AI25" s="7" t="e">
        <f>#REF!</f>
        <v>#REF!</v>
      </c>
      <c r="AJ25" s="8" t="str">
        <f>IFERROR(VLOOKUP(ROWS(AJ$2:AJ25),$AG$2:$AI$151,2,FALSE),"")</f>
        <v/>
      </c>
      <c r="AK25" s="8" t="str">
        <f>IFERROR(VLOOKUP(ROWS($AJ$2:AJ25),$AG$2:$AI$151,3,FALSE),"")</f>
        <v/>
      </c>
      <c r="AM25" s="7">
        <f>IF(ISNUMBER(SEARCH(#REF!,AN25)),MAX($AM$1:AM24)+1,0)</f>
        <v>0</v>
      </c>
      <c r="AN25" s="7" t="e">
        <f>#REF!</f>
        <v>#REF!</v>
      </c>
      <c r="AO25" s="7" t="e">
        <f>#REF!</f>
        <v>#REF!</v>
      </c>
      <c r="AP25" s="8" t="str">
        <f>IFERROR(VLOOKUP(ROWS($AP$2:AP25),$AM$2:$AO$151,2,FALSE),"")</f>
        <v/>
      </c>
      <c r="AQ25" s="8" t="str">
        <f>IFERROR(VLOOKUP(ROWS($AP$2:AP25),$AM$2:$AO$151,3,FALSE),"")</f>
        <v/>
      </c>
      <c r="AS25" s="9">
        <f>IF(ISNUMBER(SEARCH(#REF!,AT25)),MAX($AS$1:AS24)+1,0)</f>
        <v>0</v>
      </c>
      <c r="AT25" s="9" t="e">
        <f>#REF!</f>
        <v>#REF!</v>
      </c>
      <c r="AU25" s="9" t="e">
        <f>#REF!</f>
        <v>#REF!</v>
      </c>
      <c r="AV25" s="10" t="str">
        <f>IFERROR(VLOOKUP(ROWS(AV$2:AV25),$AS$2:$AU$151,2,FALSE),"")</f>
        <v/>
      </c>
      <c r="AW25" s="10" t="str">
        <f>IFERROR(VLOOKUP(ROWS($AV$2:AV25),$AS$2:$AU$151,3,FALSE),"")</f>
        <v/>
      </c>
      <c r="AY25" s="9">
        <f>IF(ISNUMBER(SEARCH(#REF!,AZ25)),MAX($AY$1:AY24)+1,0)</f>
        <v>0</v>
      </c>
      <c r="AZ25" s="9" t="e">
        <f>#REF!</f>
        <v>#REF!</v>
      </c>
      <c r="BA25" s="9" t="e">
        <f>#REF!</f>
        <v>#REF!</v>
      </c>
      <c r="BB25" s="10" t="str">
        <f>IFERROR(VLOOKUP(ROWS($BB$2:BB25),$AY$2:$BA$151,2,FALSE),"")</f>
        <v/>
      </c>
      <c r="BC25" s="10" t="str">
        <f>IFERROR(VLOOKUP(ROWS($BB$2:BB25),$AY$2:$BA$151,3,FALSE),"")</f>
        <v/>
      </c>
    </row>
    <row r="26" spans="3:55" x14ac:dyDescent="0.25">
      <c r="C26" s="3">
        <f>IF(ISNUMBER(SEARCH(#REF!,D26)),MAX($C$1:C25)+1,0)</f>
        <v>0</v>
      </c>
      <c r="D26" s="3" t="e">
        <f>#REF!</f>
        <v>#REF!</v>
      </c>
      <c r="E26" s="3" t="e">
        <f>#REF!</f>
        <v>#REF!</v>
      </c>
      <c r="F26" s="4" t="str">
        <f>IFERROR(VLOOKUP(ROWS($F$2:F26),$C$2:$E$151,2,FALSE),"")</f>
        <v/>
      </c>
      <c r="G26" s="4" t="str">
        <f>IFERROR(VLOOKUP(ROWS($F$2:F26),$C$2:$E$151,3,FALSE),"")</f>
        <v/>
      </c>
      <c r="I26" s="3">
        <f>IF(ISNUMBER(SEARCH(#REF!,J26)),MAX($I$1:I25)+1,0)</f>
        <v>0</v>
      </c>
      <c r="J26" s="3" t="e">
        <f>#REF!</f>
        <v>#REF!</v>
      </c>
      <c r="K26" s="3" t="e">
        <f>#REF!</f>
        <v>#REF!</v>
      </c>
      <c r="L26" s="4" t="str">
        <f>IFERROR(VLOOKUP(ROWS($L$2:L26),$I$2:$K$151,2,FALSE),"")</f>
        <v/>
      </c>
      <c r="M26" s="4" t="str">
        <f>IFERROR(VLOOKUP(ROWS($L$2:L26),$I$2:$K$151,3,FALSE),"")</f>
        <v/>
      </c>
      <c r="O26" s="3">
        <f>IF(ISNUMBER(SEARCH(#REF!,P26)),MAX($O$1:O25)+1,0)</f>
        <v>0</v>
      </c>
      <c r="P26" s="3" t="e">
        <f>#REF!</f>
        <v>#REF!</v>
      </c>
      <c r="Q26" s="3" t="e">
        <f>#REF!</f>
        <v>#REF!</v>
      </c>
      <c r="R26" s="4" t="str">
        <f>IFERROR(VLOOKUP(ROWS($R$2:R26),$O$2:$Q$151,2,FALSE),"")</f>
        <v/>
      </c>
      <c r="S26" s="4" t="str">
        <f>IFERROR(VLOOKUP(ROWS($R$2:R26),$O$2:$Q$151,3,FALSE),"")</f>
        <v/>
      </c>
      <c r="U26" s="5">
        <f>IF(ISNUMBER(SEARCH(#REF!,V26)),MAX($U$1:U25)+1,0)</f>
        <v>0</v>
      </c>
      <c r="V26" s="5" t="e">
        <f>#REF!</f>
        <v>#REF!</v>
      </c>
      <c r="W26" s="5" t="e">
        <f>#REF!</f>
        <v>#REF!</v>
      </c>
      <c r="X26" s="6" t="str">
        <f>IFERROR(VLOOKUP(ROWS($X$2:X26),$U$2:$W$151,2,FALSE),"")</f>
        <v/>
      </c>
      <c r="Y26" s="6" t="str">
        <f>IFERROR(VLOOKUP(ROWS($X$2:X26),$U$2:$W$151,3,FALSE),"")</f>
        <v/>
      </c>
      <c r="AA26" s="5">
        <f>IF(ISNUMBER(SEARCH(#REF!,AB26)),MAX($AA$1:AA25)+1,0)</f>
        <v>0</v>
      </c>
      <c r="AB26" s="5" t="e">
        <f>#REF!</f>
        <v>#REF!</v>
      </c>
      <c r="AC26" s="5" t="e">
        <f>#REF!</f>
        <v>#REF!</v>
      </c>
      <c r="AD26" s="6" t="str">
        <f>IFERROR(VLOOKUP(ROWS($AD$2:AD26),$AA$2:$AC$151,2,FALSE),"")</f>
        <v/>
      </c>
      <c r="AE26" s="6" t="str">
        <f>IFERROR(VLOOKUP(ROWS($AD$2:AD26),$AA$2:$AC$151,3,FALSE),"")</f>
        <v/>
      </c>
      <c r="AG26" s="7">
        <f>IF(ISNUMBER(SEARCH(#REF!,AH26)),MAX($AG$1:AG25)+1,0)</f>
        <v>0</v>
      </c>
      <c r="AH26" s="7" t="e">
        <f>#REF!</f>
        <v>#REF!</v>
      </c>
      <c r="AI26" s="7" t="e">
        <f>#REF!</f>
        <v>#REF!</v>
      </c>
      <c r="AJ26" s="8" t="str">
        <f>IFERROR(VLOOKUP(ROWS(AJ$2:AJ26),$AG$2:$AI$151,2,FALSE),"")</f>
        <v/>
      </c>
      <c r="AK26" s="8" t="str">
        <f>IFERROR(VLOOKUP(ROWS($AJ$2:AJ26),$AG$2:$AI$151,3,FALSE),"")</f>
        <v/>
      </c>
      <c r="AM26" s="7">
        <f>IF(ISNUMBER(SEARCH(#REF!,AN26)),MAX($AM$1:AM25)+1,0)</f>
        <v>0</v>
      </c>
      <c r="AN26" s="7" t="e">
        <f>#REF!</f>
        <v>#REF!</v>
      </c>
      <c r="AO26" s="7" t="e">
        <f>#REF!</f>
        <v>#REF!</v>
      </c>
      <c r="AP26" s="8" t="str">
        <f>IFERROR(VLOOKUP(ROWS($AP$2:AP26),$AM$2:$AO$151,2,FALSE),"")</f>
        <v/>
      </c>
      <c r="AQ26" s="8" t="str">
        <f>IFERROR(VLOOKUP(ROWS($AP$2:AP26),$AM$2:$AO$151,3,FALSE),"")</f>
        <v/>
      </c>
      <c r="AS26" s="9">
        <f>IF(ISNUMBER(SEARCH(#REF!,AT26)),MAX($AS$1:AS25)+1,0)</f>
        <v>0</v>
      </c>
      <c r="AT26" s="9" t="e">
        <f>#REF!</f>
        <v>#REF!</v>
      </c>
      <c r="AU26" s="9" t="e">
        <f>#REF!</f>
        <v>#REF!</v>
      </c>
      <c r="AV26" s="10" t="str">
        <f>IFERROR(VLOOKUP(ROWS(AV$2:AV26),$AS$2:$AU$151,2,FALSE),"")</f>
        <v/>
      </c>
      <c r="AW26" s="10" t="str">
        <f>IFERROR(VLOOKUP(ROWS($AV$2:AV26),$AS$2:$AU$151,3,FALSE),"")</f>
        <v/>
      </c>
      <c r="AY26" s="9">
        <f>IF(ISNUMBER(SEARCH(#REF!,AZ26)),MAX($AY$1:AY25)+1,0)</f>
        <v>0</v>
      </c>
      <c r="AZ26" s="9" t="e">
        <f>#REF!</f>
        <v>#REF!</v>
      </c>
      <c r="BA26" s="9" t="e">
        <f>#REF!</f>
        <v>#REF!</v>
      </c>
      <c r="BB26" s="10" t="str">
        <f>IFERROR(VLOOKUP(ROWS($BB$2:BB26),$AY$2:$BA$151,2,FALSE),"")</f>
        <v/>
      </c>
      <c r="BC26" s="10" t="str">
        <f>IFERROR(VLOOKUP(ROWS($BB$2:BB26),$AY$2:$BA$151,3,FALSE),"")</f>
        <v/>
      </c>
    </row>
    <row r="27" spans="3:55" x14ac:dyDescent="0.25">
      <c r="C27" s="3">
        <f>IF(ISNUMBER(SEARCH(#REF!,D27)),MAX($C$1:C26)+1,0)</f>
        <v>0</v>
      </c>
      <c r="D27" s="3" t="e">
        <f>#REF!</f>
        <v>#REF!</v>
      </c>
      <c r="E27" s="3" t="e">
        <f>#REF!</f>
        <v>#REF!</v>
      </c>
      <c r="F27" s="4" t="str">
        <f>IFERROR(VLOOKUP(ROWS($F$2:F27),$C$2:$E$151,2,FALSE),"")</f>
        <v/>
      </c>
      <c r="G27" s="4" t="str">
        <f>IFERROR(VLOOKUP(ROWS($F$2:F27),$C$2:$E$151,3,FALSE),"")</f>
        <v/>
      </c>
      <c r="I27" s="3">
        <f>IF(ISNUMBER(SEARCH(#REF!,J27)),MAX($I$1:I26)+1,0)</f>
        <v>0</v>
      </c>
      <c r="J27" s="3" t="e">
        <f>#REF!</f>
        <v>#REF!</v>
      </c>
      <c r="K27" s="3" t="e">
        <f>#REF!</f>
        <v>#REF!</v>
      </c>
      <c r="L27" s="4" t="str">
        <f>IFERROR(VLOOKUP(ROWS($L$2:L27),$I$2:$K$151,2,FALSE),"")</f>
        <v/>
      </c>
      <c r="M27" s="4" t="str">
        <f>IFERROR(VLOOKUP(ROWS($L$2:L27),$I$2:$K$151,3,FALSE),"")</f>
        <v/>
      </c>
      <c r="O27" s="3">
        <f>IF(ISNUMBER(SEARCH(#REF!,P27)),MAX($O$1:O26)+1,0)</f>
        <v>0</v>
      </c>
      <c r="P27" s="3" t="e">
        <f>#REF!</f>
        <v>#REF!</v>
      </c>
      <c r="Q27" s="3" t="e">
        <f>#REF!</f>
        <v>#REF!</v>
      </c>
      <c r="R27" s="4" t="str">
        <f>IFERROR(VLOOKUP(ROWS($R$2:R27),$O$2:$Q$151,2,FALSE),"")</f>
        <v/>
      </c>
      <c r="S27" s="4" t="str">
        <f>IFERROR(VLOOKUP(ROWS($R$2:R27),$O$2:$Q$151,3,FALSE),"")</f>
        <v/>
      </c>
      <c r="U27" s="5">
        <f>IF(ISNUMBER(SEARCH(#REF!,V27)),MAX($U$1:U26)+1,0)</f>
        <v>0</v>
      </c>
      <c r="V27" s="5" t="e">
        <f>#REF!</f>
        <v>#REF!</v>
      </c>
      <c r="W27" s="5" t="e">
        <f>#REF!</f>
        <v>#REF!</v>
      </c>
      <c r="X27" s="6" t="str">
        <f>IFERROR(VLOOKUP(ROWS($X$2:X27),$U$2:$W$151,2,FALSE),"")</f>
        <v/>
      </c>
      <c r="Y27" s="6" t="str">
        <f>IFERROR(VLOOKUP(ROWS($X$2:X27),$U$2:$W$151,3,FALSE),"")</f>
        <v/>
      </c>
      <c r="AA27" s="5">
        <f>IF(ISNUMBER(SEARCH(#REF!,AB27)),MAX($AA$1:AA26)+1,0)</f>
        <v>0</v>
      </c>
      <c r="AB27" s="5" t="e">
        <f>#REF!</f>
        <v>#REF!</v>
      </c>
      <c r="AC27" s="5" t="e">
        <f>#REF!</f>
        <v>#REF!</v>
      </c>
      <c r="AD27" s="6" t="str">
        <f>IFERROR(VLOOKUP(ROWS($AD$2:AD27),$AA$2:$AC$151,2,FALSE),"")</f>
        <v/>
      </c>
      <c r="AE27" s="6" t="str">
        <f>IFERROR(VLOOKUP(ROWS($AD$2:AD27),$AA$2:$AC$151,3,FALSE),"")</f>
        <v/>
      </c>
      <c r="AG27" s="7">
        <f>IF(ISNUMBER(SEARCH(#REF!,AH27)),MAX($AG$1:AG26)+1,0)</f>
        <v>0</v>
      </c>
      <c r="AH27" s="7" t="e">
        <f>#REF!</f>
        <v>#REF!</v>
      </c>
      <c r="AI27" s="7" t="e">
        <f>#REF!</f>
        <v>#REF!</v>
      </c>
      <c r="AJ27" s="8" t="str">
        <f>IFERROR(VLOOKUP(ROWS(AJ$2:AJ27),$AG$2:$AI$151,2,FALSE),"")</f>
        <v/>
      </c>
      <c r="AK27" s="8" t="str">
        <f>IFERROR(VLOOKUP(ROWS($AJ$2:AJ27),$AG$2:$AI$151,3,FALSE),"")</f>
        <v/>
      </c>
      <c r="AM27" s="7">
        <f>IF(ISNUMBER(SEARCH(#REF!,AN27)),MAX($AM$1:AM26)+1,0)</f>
        <v>0</v>
      </c>
      <c r="AN27" s="7" t="e">
        <f>#REF!</f>
        <v>#REF!</v>
      </c>
      <c r="AO27" s="7" t="e">
        <f>#REF!</f>
        <v>#REF!</v>
      </c>
      <c r="AP27" s="8" t="str">
        <f>IFERROR(VLOOKUP(ROWS($AP$2:AP27),$AM$2:$AO$151,2,FALSE),"")</f>
        <v/>
      </c>
      <c r="AQ27" s="8" t="str">
        <f>IFERROR(VLOOKUP(ROWS($AP$2:AP27),$AM$2:$AO$151,3,FALSE),"")</f>
        <v/>
      </c>
      <c r="AS27" s="9">
        <f>IF(ISNUMBER(SEARCH(#REF!,AT27)),MAX($AS$1:AS26)+1,0)</f>
        <v>0</v>
      </c>
      <c r="AT27" s="9" t="e">
        <f>#REF!</f>
        <v>#REF!</v>
      </c>
      <c r="AU27" s="9" t="e">
        <f>#REF!</f>
        <v>#REF!</v>
      </c>
      <c r="AV27" s="10" t="str">
        <f>IFERROR(VLOOKUP(ROWS(AV$2:AV27),$AS$2:$AU$151,2,FALSE),"")</f>
        <v/>
      </c>
      <c r="AW27" s="10" t="str">
        <f>IFERROR(VLOOKUP(ROWS($AV$2:AV27),$AS$2:$AU$151,3,FALSE),"")</f>
        <v/>
      </c>
      <c r="AY27" s="9">
        <f>IF(ISNUMBER(SEARCH(#REF!,AZ27)),MAX($AY$1:AY26)+1,0)</f>
        <v>0</v>
      </c>
      <c r="AZ27" s="9" t="e">
        <f>#REF!</f>
        <v>#REF!</v>
      </c>
      <c r="BA27" s="9" t="e">
        <f>#REF!</f>
        <v>#REF!</v>
      </c>
      <c r="BB27" s="10" t="str">
        <f>IFERROR(VLOOKUP(ROWS($BB$2:BB27),$AY$2:$BA$151,2,FALSE),"")</f>
        <v/>
      </c>
      <c r="BC27" s="10" t="str">
        <f>IFERROR(VLOOKUP(ROWS($BB$2:BB27),$AY$2:$BA$151,3,FALSE),"")</f>
        <v/>
      </c>
    </row>
    <row r="28" spans="3:55" x14ac:dyDescent="0.25">
      <c r="C28" s="3">
        <f>IF(ISNUMBER(SEARCH(#REF!,D28)),MAX($C$1:C27)+1,0)</f>
        <v>0</v>
      </c>
      <c r="D28" s="3" t="e">
        <f>#REF!</f>
        <v>#REF!</v>
      </c>
      <c r="E28" s="3" t="e">
        <f>#REF!</f>
        <v>#REF!</v>
      </c>
      <c r="F28" s="4" t="str">
        <f>IFERROR(VLOOKUP(ROWS($F$2:F28),$C$2:$E$151,2,FALSE),"")</f>
        <v/>
      </c>
      <c r="G28" s="4" t="str">
        <f>IFERROR(VLOOKUP(ROWS($F$2:F28),$C$2:$E$151,3,FALSE),"")</f>
        <v/>
      </c>
      <c r="I28" s="3">
        <f>IF(ISNUMBER(SEARCH(#REF!,J28)),MAX($I$1:I27)+1,0)</f>
        <v>0</v>
      </c>
      <c r="J28" s="3" t="e">
        <f>#REF!</f>
        <v>#REF!</v>
      </c>
      <c r="K28" s="3" t="e">
        <f>#REF!</f>
        <v>#REF!</v>
      </c>
      <c r="L28" s="4" t="str">
        <f>IFERROR(VLOOKUP(ROWS($L$2:L28),$I$2:$K$151,2,FALSE),"")</f>
        <v/>
      </c>
      <c r="M28" s="4" t="str">
        <f>IFERROR(VLOOKUP(ROWS($L$2:L28),$I$2:$K$151,3,FALSE),"")</f>
        <v/>
      </c>
      <c r="O28" s="3">
        <f>IF(ISNUMBER(SEARCH(#REF!,P28)),MAX($O$1:O27)+1,0)</f>
        <v>0</v>
      </c>
      <c r="P28" s="3" t="e">
        <f>#REF!</f>
        <v>#REF!</v>
      </c>
      <c r="Q28" s="3" t="e">
        <f>#REF!</f>
        <v>#REF!</v>
      </c>
      <c r="R28" s="4" t="str">
        <f>IFERROR(VLOOKUP(ROWS($R$2:R28),$O$2:$Q$151,2,FALSE),"")</f>
        <v/>
      </c>
      <c r="S28" s="4" t="str">
        <f>IFERROR(VLOOKUP(ROWS($R$2:R28),$O$2:$Q$151,3,FALSE),"")</f>
        <v/>
      </c>
      <c r="U28" s="5">
        <f>IF(ISNUMBER(SEARCH(#REF!,V28)),MAX($U$1:U27)+1,0)</f>
        <v>0</v>
      </c>
      <c r="V28" s="5" t="e">
        <f>#REF!</f>
        <v>#REF!</v>
      </c>
      <c r="W28" s="5" t="e">
        <f>#REF!</f>
        <v>#REF!</v>
      </c>
      <c r="X28" s="6" t="str">
        <f>IFERROR(VLOOKUP(ROWS($X$2:X28),$U$2:$W$151,2,FALSE),"")</f>
        <v/>
      </c>
      <c r="Y28" s="6" t="str">
        <f>IFERROR(VLOOKUP(ROWS($X$2:X28),$U$2:$W$151,3,FALSE),"")</f>
        <v/>
      </c>
      <c r="AA28" s="5">
        <f>IF(ISNUMBER(SEARCH(#REF!,AB28)),MAX($AA$1:AA27)+1,0)</f>
        <v>0</v>
      </c>
      <c r="AB28" s="5" t="e">
        <f>#REF!</f>
        <v>#REF!</v>
      </c>
      <c r="AC28" s="5" t="e">
        <f>#REF!</f>
        <v>#REF!</v>
      </c>
      <c r="AD28" s="6" t="str">
        <f>IFERROR(VLOOKUP(ROWS($AD$2:AD28),$AA$2:$AC$151,2,FALSE),"")</f>
        <v/>
      </c>
      <c r="AE28" s="6" t="str">
        <f>IFERROR(VLOOKUP(ROWS($AD$2:AD28),$AA$2:$AC$151,3,FALSE),"")</f>
        <v/>
      </c>
      <c r="AG28" s="7">
        <f>IF(ISNUMBER(SEARCH(#REF!,AH28)),MAX($AG$1:AG27)+1,0)</f>
        <v>0</v>
      </c>
      <c r="AH28" s="7" t="e">
        <f>#REF!</f>
        <v>#REF!</v>
      </c>
      <c r="AI28" s="7" t="e">
        <f>#REF!</f>
        <v>#REF!</v>
      </c>
      <c r="AJ28" s="8" t="str">
        <f>IFERROR(VLOOKUP(ROWS(AJ$2:AJ28),$AG$2:$AI$151,2,FALSE),"")</f>
        <v/>
      </c>
      <c r="AK28" s="8" t="str">
        <f>IFERROR(VLOOKUP(ROWS($AJ$2:AJ28),$AG$2:$AI$151,3,FALSE),"")</f>
        <v/>
      </c>
      <c r="AM28" s="7">
        <f>IF(ISNUMBER(SEARCH(#REF!,AN28)),MAX($AM$1:AM27)+1,0)</f>
        <v>0</v>
      </c>
      <c r="AN28" s="7" t="e">
        <f>#REF!</f>
        <v>#REF!</v>
      </c>
      <c r="AO28" s="7" t="e">
        <f>#REF!</f>
        <v>#REF!</v>
      </c>
      <c r="AP28" s="8" t="str">
        <f>IFERROR(VLOOKUP(ROWS($AP$2:AP28),$AM$2:$AO$151,2,FALSE),"")</f>
        <v/>
      </c>
      <c r="AQ28" s="8" t="str">
        <f>IFERROR(VLOOKUP(ROWS($AP$2:AP28),$AM$2:$AO$151,3,FALSE),"")</f>
        <v/>
      </c>
      <c r="AS28" s="9">
        <f>IF(ISNUMBER(SEARCH(#REF!,AT28)),MAX($AS$1:AS27)+1,0)</f>
        <v>0</v>
      </c>
      <c r="AT28" s="9" t="e">
        <f>#REF!</f>
        <v>#REF!</v>
      </c>
      <c r="AU28" s="9" t="e">
        <f>#REF!</f>
        <v>#REF!</v>
      </c>
      <c r="AV28" s="10" t="str">
        <f>IFERROR(VLOOKUP(ROWS(AV$2:AV28),$AS$2:$AU$151,2,FALSE),"")</f>
        <v/>
      </c>
      <c r="AW28" s="10" t="str">
        <f>IFERROR(VLOOKUP(ROWS($AV$2:AV28),$AS$2:$AU$151,3,FALSE),"")</f>
        <v/>
      </c>
      <c r="AY28" s="9">
        <f>IF(ISNUMBER(SEARCH(#REF!,AZ28)),MAX($AY$1:AY27)+1,0)</f>
        <v>0</v>
      </c>
      <c r="AZ28" s="9" t="e">
        <f>#REF!</f>
        <v>#REF!</v>
      </c>
      <c r="BA28" s="9" t="e">
        <f>#REF!</f>
        <v>#REF!</v>
      </c>
      <c r="BB28" s="10" t="str">
        <f>IFERROR(VLOOKUP(ROWS($BB$2:BB28),$AY$2:$BA$151,2,FALSE),"")</f>
        <v/>
      </c>
      <c r="BC28" s="10" t="str">
        <f>IFERROR(VLOOKUP(ROWS($BB$2:BB28),$AY$2:$BA$151,3,FALSE),"")</f>
        <v/>
      </c>
    </row>
    <row r="29" spans="3:55" x14ac:dyDescent="0.25">
      <c r="C29" s="3">
        <f>IF(ISNUMBER(SEARCH(#REF!,D29)),MAX($C$1:C28)+1,0)</f>
        <v>0</v>
      </c>
      <c r="D29" s="3" t="e">
        <f>#REF!</f>
        <v>#REF!</v>
      </c>
      <c r="E29" s="3" t="e">
        <f>#REF!</f>
        <v>#REF!</v>
      </c>
      <c r="F29" s="4" t="str">
        <f>IFERROR(VLOOKUP(ROWS($F$2:F29),$C$2:$E$151,2,FALSE),"")</f>
        <v/>
      </c>
      <c r="G29" s="4" t="str">
        <f>IFERROR(VLOOKUP(ROWS($F$2:F29),$C$2:$E$151,3,FALSE),"")</f>
        <v/>
      </c>
      <c r="I29" s="3">
        <f>IF(ISNUMBER(SEARCH(#REF!,J29)),MAX($I$1:I28)+1,0)</f>
        <v>0</v>
      </c>
      <c r="J29" s="3" t="e">
        <f>#REF!</f>
        <v>#REF!</v>
      </c>
      <c r="K29" s="3" t="e">
        <f>#REF!</f>
        <v>#REF!</v>
      </c>
      <c r="L29" s="4" t="str">
        <f>IFERROR(VLOOKUP(ROWS($L$2:L29),$I$2:$K$151,2,FALSE),"")</f>
        <v/>
      </c>
      <c r="M29" s="4" t="str">
        <f>IFERROR(VLOOKUP(ROWS($L$2:L29),$I$2:$K$151,3,FALSE),"")</f>
        <v/>
      </c>
      <c r="O29" s="3">
        <f>IF(ISNUMBER(SEARCH(#REF!,P29)),MAX($O$1:O28)+1,0)</f>
        <v>0</v>
      </c>
      <c r="P29" s="3" t="e">
        <f>#REF!</f>
        <v>#REF!</v>
      </c>
      <c r="Q29" s="3" t="e">
        <f>#REF!</f>
        <v>#REF!</v>
      </c>
      <c r="R29" s="4" t="str">
        <f>IFERROR(VLOOKUP(ROWS($R$2:R29),$O$2:$Q$151,2,FALSE),"")</f>
        <v/>
      </c>
      <c r="S29" s="4" t="str">
        <f>IFERROR(VLOOKUP(ROWS($R$2:R29),$O$2:$Q$151,3,FALSE),"")</f>
        <v/>
      </c>
      <c r="U29" s="5">
        <f>IF(ISNUMBER(SEARCH(#REF!,V29)),MAX($U$1:U28)+1,0)</f>
        <v>0</v>
      </c>
      <c r="V29" s="5" t="e">
        <f>#REF!</f>
        <v>#REF!</v>
      </c>
      <c r="W29" s="5" t="e">
        <f>#REF!</f>
        <v>#REF!</v>
      </c>
      <c r="X29" s="6" t="str">
        <f>IFERROR(VLOOKUP(ROWS($X$2:X29),$U$2:$W$151,2,FALSE),"")</f>
        <v/>
      </c>
      <c r="Y29" s="6" t="str">
        <f>IFERROR(VLOOKUP(ROWS($X$2:X29),$U$2:$W$151,3,FALSE),"")</f>
        <v/>
      </c>
      <c r="AA29" s="5">
        <f>IF(ISNUMBER(SEARCH(#REF!,AB29)),MAX($AA$1:AA28)+1,0)</f>
        <v>0</v>
      </c>
      <c r="AB29" s="5" t="e">
        <f>#REF!</f>
        <v>#REF!</v>
      </c>
      <c r="AC29" s="5" t="e">
        <f>#REF!</f>
        <v>#REF!</v>
      </c>
      <c r="AD29" s="6" t="str">
        <f>IFERROR(VLOOKUP(ROWS($AD$2:AD29),$AA$2:$AC$151,2,FALSE),"")</f>
        <v/>
      </c>
      <c r="AE29" s="6" t="str">
        <f>IFERROR(VLOOKUP(ROWS($AD$2:AD29),$AA$2:$AC$151,3,FALSE),"")</f>
        <v/>
      </c>
      <c r="AG29" s="7">
        <f>IF(ISNUMBER(SEARCH(#REF!,AH29)),MAX($AG$1:AG28)+1,0)</f>
        <v>0</v>
      </c>
      <c r="AH29" s="7" t="e">
        <f>#REF!</f>
        <v>#REF!</v>
      </c>
      <c r="AI29" s="7" t="e">
        <f>#REF!</f>
        <v>#REF!</v>
      </c>
      <c r="AJ29" s="8" t="str">
        <f>IFERROR(VLOOKUP(ROWS(AJ$2:AJ29),$AG$2:$AI$151,2,FALSE),"")</f>
        <v/>
      </c>
      <c r="AK29" s="8" t="str">
        <f>IFERROR(VLOOKUP(ROWS($AJ$2:AJ29),$AG$2:$AI$151,3,FALSE),"")</f>
        <v/>
      </c>
      <c r="AM29" s="7">
        <f>IF(ISNUMBER(SEARCH(#REF!,AN29)),MAX($AM$1:AM28)+1,0)</f>
        <v>0</v>
      </c>
      <c r="AN29" s="7" t="e">
        <f>#REF!</f>
        <v>#REF!</v>
      </c>
      <c r="AO29" s="7" t="e">
        <f>#REF!</f>
        <v>#REF!</v>
      </c>
      <c r="AP29" s="8" t="str">
        <f>IFERROR(VLOOKUP(ROWS($AP$2:AP29),$AM$2:$AO$151,2,FALSE),"")</f>
        <v/>
      </c>
      <c r="AQ29" s="8" t="str">
        <f>IFERROR(VLOOKUP(ROWS($AP$2:AP29),$AM$2:$AO$151,3,FALSE),"")</f>
        <v/>
      </c>
      <c r="AS29" s="9">
        <f>IF(ISNUMBER(SEARCH(#REF!,AT29)),MAX($AS$1:AS28)+1,0)</f>
        <v>0</v>
      </c>
      <c r="AT29" s="9" t="e">
        <f>#REF!</f>
        <v>#REF!</v>
      </c>
      <c r="AU29" s="9" t="e">
        <f>#REF!</f>
        <v>#REF!</v>
      </c>
      <c r="AV29" s="10" t="str">
        <f>IFERROR(VLOOKUP(ROWS(AV$2:AV29),$AS$2:$AU$151,2,FALSE),"")</f>
        <v/>
      </c>
      <c r="AW29" s="10" t="str">
        <f>IFERROR(VLOOKUP(ROWS($AV$2:AV29),$AS$2:$AU$151,3,FALSE),"")</f>
        <v/>
      </c>
      <c r="AY29" s="9">
        <f>IF(ISNUMBER(SEARCH(#REF!,AZ29)),MAX($AY$1:AY28)+1,0)</f>
        <v>0</v>
      </c>
      <c r="AZ29" s="9" t="e">
        <f>#REF!</f>
        <v>#REF!</v>
      </c>
      <c r="BA29" s="9" t="e">
        <f>#REF!</f>
        <v>#REF!</v>
      </c>
      <c r="BB29" s="10" t="str">
        <f>IFERROR(VLOOKUP(ROWS($BB$2:BB29),$AY$2:$BA$151,2,FALSE),"")</f>
        <v/>
      </c>
      <c r="BC29" s="10" t="str">
        <f>IFERROR(VLOOKUP(ROWS($BB$2:BB29),$AY$2:$BA$151,3,FALSE),"")</f>
        <v/>
      </c>
    </row>
    <row r="30" spans="3:55" x14ac:dyDescent="0.25">
      <c r="C30" s="3">
        <f>IF(ISNUMBER(SEARCH(#REF!,D30)),MAX($C$1:C29)+1,0)</f>
        <v>0</v>
      </c>
      <c r="D30" s="3" t="e">
        <f>#REF!</f>
        <v>#REF!</v>
      </c>
      <c r="E30" s="3" t="e">
        <f>#REF!</f>
        <v>#REF!</v>
      </c>
      <c r="F30" s="4" t="str">
        <f>IFERROR(VLOOKUP(ROWS($F$2:F30),$C$2:$E$151,2,FALSE),"")</f>
        <v/>
      </c>
      <c r="G30" s="4" t="str">
        <f>IFERROR(VLOOKUP(ROWS($F$2:F30),$C$2:$E$151,3,FALSE),"")</f>
        <v/>
      </c>
      <c r="I30" s="3">
        <f>IF(ISNUMBER(SEARCH(#REF!,J30)),MAX($I$1:I29)+1,0)</f>
        <v>0</v>
      </c>
      <c r="J30" s="3" t="e">
        <f>#REF!</f>
        <v>#REF!</v>
      </c>
      <c r="K30" s="3" t="e">
        <f>#REF!</f>
        <v>#REF!</v>
      </c>
      <c r="L30" s="4" t="str">
        <f>IFERROR(VLOOKUP(ROWS($L$2:L30),$I$2:$K$151,2,FALSE),"")</f>
        <v/>
      </c>
      <c r="M30" s="4" t="str">
        <f>IFERROR(VLOOKUP(ROWS($L$2:L30),$I$2:$K$151,3,FALSE),"")</f>
        <v/>
      </c>
      <c r="O30" s="3">
        <f>IF(ISNUMBER(SEARCH(#REF!,P30)),MAX($O$1:O29)+1,0)</f>
        <v>0</v>
      </c>
      <c r="P30" s="3" t="e">
        <f>#REF!</f>
        <v>#REF!</v>
      </c>
      <c r="Q30" s="3" t="e">
        <f>#REF!</f>
        <v>#REF!</v>
      </c>
      <c r="R30" s="4" t="str">
        <f>IFERROR(VLOOKUP(ROWS($R$2:R30),$O$2:$Q$151,2,FALSE),"")</f>
        <v/>
      </c>
      <c r="S30" s="4" t="str">
        <f>IFERROR(VLOOKUP(ROWS($R$2:R30),$O$2:$Q$151,3,FALSE),"")</f>
        <v/>
      </c>
      <c r="U30" s="5">
        <f>IF(ISNUMBER(SEARCH(#REF!,V30)),MAX($U$1:U29)+1,0)</f>
        <v>0</v>
      </c>
      <c r="V30" s="5" t="e">
        <f>#REF!</f>
        <v>#REF!</v>
      </c>
      <c r="W30" s="5" t="e">
        <f>#REF!</f>
        <v>#REF!</v>
      </c>
      <c r="X30" s="6" t="str">
        <f>IFERROR(VLOOKUP(ROWS($X$2:X30),$U$2:$W$151,2,FALSE),"")</f>
        <v/>
      </c>
      <c r="Y30" s="6" t="str">
        <f>IFERROR(VLOOKUP(ROWS($X$2:X30),$U$2:$W$151,3,FALSE),"")</f>
        <v/>
      </c>
      <c r="AA30" s="5">
        <f>IF(ISNUMBER(SEARCH(#REF!,AB30)),MAX($AA$1:AA29)+1,0)</f>
        <v>0</v>
      </c>
      <c r="AB30" s="5" t="e">
        <f>#REF!</f>
        <v>#REF!</v>
      </c>
      <c r="AC30" s="5" t="e">
        <f>#REF!</f>
        <v>#REF!</v>
      </c>
      <c r="AD30" s="6" t="str">
        <f>IFERROR(VLOOKUP(ROWS($AD$2:AD30),$AA$2:$AC$151,2,FALSE),"")</f>
        <v/>
      </c>
      <c r="AE30" s="6" t="str">
        <f>IFERROR(VLOOKUP(ROWS($AD$2:AD30),$AA$2:$AC$151,3,FALSE),"")</f>
        <v/>
      </c>
      <c r="AG30" s="7">
        <f>IF(ISNUMBER(SEARCH(#REF!,AH30)),MAX($AG$1:AG29)+1,0)</f>
        <v>0</v>
      </c>
      <c r="AH30" s="7" t="e">
        <f>#REF!</f>
        <v>#REF!</v>
      </c>
      <c r="AI30" s="7" t="e">
        <f>#REF!</f>
        <v>#REF!</v>
      </c>
      <c r="AJ30" s="8" t="str">
        <f>IFERROR(VLOOKUP(ROWS(AJ$2:AJ30),$AG$2:$AI$151,2,FALSE),"")</f>
        <v/>
      </c>
      <c r="AK30" s="8" t="str">
        <f>IFERROR(VLOOKUP(ROWS($AJ$2:AJ30),$AG$2:$AI$151,3,FALSE),"")</f>
        <v/>
      </c>
      <c r="AM30" s="7">
        <f>IF(ISNUMBER(SEARCH(#REF!,AN30)),MAX($AM$1:AM29)+1,0)</f>
        <v>0</v>
      </c>
      <c r="AN30" s="7" t="e">
        <f>#REF!</f>
        <v>#REF!</v>
      </c>
      <c r="AO30" s="7" t="e">
        <f>#REF!</f>
        <v>#REF!</v>
      </c>
      <c r="AP30" s="8" t="str">
        <f>IFERROR(VLOOKUP(ROWS($AP$2:AP30),$AM$2:$AO$151,2,FALSE),"")</f>
        <v/>
      </c>
      <c r="AQ30" s="8" t="str">
        <f>IFERROR(VLOOKUP(ROWS($AP$2:AP30),$AM$2:$AO$151,3,FALSE),"")</f>
        <v/>
      </c>
      <c r="AS30" s="9">
        <f>IF(ISNUMBER(SEARCH(#REF!,AT30)),MAX($AS$1:AS29)+1,0)</f>
        <v>0</v>
      </c>
      <c r="AT30" s="9" t="e">
        <f>#REF!</f>
        <v>#REF!</v>
      </c>
      <c r="AU30" s="9" t="e">
        <f>#REF!</f>
        <v>#REF!</v>
      </c>
      <c r="AV30" s="10" t="str">
        <f>IFERROR(VLOOKUP(ROWS(AV$2:AV30),$AS$2:$AU$151,2,FALSE),"")</f>
        <v/>
      </c>
      <c r="AW30" s="10" t="str">
        <f>IFERROR(VLOOKUP(ROWS($AV$2:AV30),$AS$2:$AU$151,3,FALSE),"")</f>
        <v/>
      </c>
      <c r="AY30" s="9">
        <f>IF(ISNUMBER(SEARCH(#REF!,AZ30)),MAX($AY$1:AY29)+1,0)</f>
        <v>0</v>
      </c>
      <c r="AZ30" s="9" t="e">
        <f>#REF!</f>
        <v>#REF!</v>
      </c>
      <c r="BA30" s="9" t="e">
        <f>#REF!</f>
        <v>#REF!</v>
      </c>
      <c r="BB30" s="10" t="str">
        <f>IFERROR(VLOOKUP(ROWS($BB$2:BB30),$AY$2:$BA$151,2,FALSE),"")</f>
        <v/>
      </c>
      <c r="BC30" s="10" t="str">
        <f>IFERROR(VLOOKUP(ROWS($BB$2:BB30),$AY$2:$BA$151,3,FALSE),"")</f>
        <v/>
      </c>
    </row>
    <row r="31" spans="3:55" x14ac:dyDescent="0.25">
      <c r="C31" s="3">
        <f>IF(ISNUMBER(SEARCH(#REF!,D31)),MAX($C$1:C30)+1,0)</f>
        <v>0</v>
      </c>
      <c r="D31" s="3" t="e">
        <f>#REF!</f>
        <v>#REF!</v>
      </c>
      <c r="E31" s="3" t="e">
        <f>#REF!</f>
        <v>#REF!</v>
      </c>
      <c r="F31" s="4" t="str">
        <f>IFERROR(VLOOKUP(ROWS($F$2:F31),$C$2:$E$151,2,FALSE),"")</f>
        <v/>
      </c>
      <c r="G31" s="4" t="str">
        <f>IFERROR(VLOOKUP(ROWS($F$2:F31),$C$2:$E$151,3,FALSE),"")</f>
        <v/>
      </c>
      <c r="I31" s="3">
        <f>IF(ISNUMBER(SEARCH(#REF!,J31)),MAX($I$1:I30)+1,0)</f>
        <v>0</v>
      </c>
      <c r="J31" s="3" t="e">
        <f>#REF!</f>
        <v>#REF!</v>
      </c>
      <c r="K31" s="3" t="e">
        <f>#REF!</f>
        <v>#REF!</v>
      </c>
      <c r="L31" s="4" t="str">
        <f>IFERROR(VLOOKUP(ROWS($L$2:L31),$I$2:$K$151,2,FALSE),"")</f>
        <v/>
      </c>
      <c r="M31" s="4" t="str">
        <f>IFERROR(VLOOKUP(ROWS($L$2:L31),$I$2:$K$151,3,FALSE),"")</f>
        <v/>
      </c>
      <c r="O31" s="3">
        <f>IF(ISNUMBER(SEARCH(#REF!,P31)),MAX($O$1:O30)+1,0)</f>
        <v>0</v>
      </c>
      <c r="P31" s="3" t="e">
        <f>#REF!</f>
        <v>#REF!</v>
      </c>
      <c r="Q31" s="3" t="e">
        <f>#REF!</f>
        <v>#REF!</v>
      </c>
      <c r="R31" s="4" t="str">
        <f>IFERROR(VLOOKUP(ROWS($R$2:R31),$O$2:$Q$151,2,FALSE),"")</f>
        <v/>
      </c>
      <c r="S31" s="4" t="str">
        <f>IFERROR(VLOOKUP(ROWS($R$2:R31),$O$2:$Q$151,3,FALSE),"")</f>
        <v/>
      </c>
      <c r="U31" s="5">
        <f>IF(ISNUMBER(SEARCH(#REF!,V31)),MAX($U$1:U30)+1,0)</f>
        <v>0</v>
      </c>
      <c r="V31" s="5" t="e">
        <f>#REF!</f>
        <v>#REF!</v>
      </c>
      <c r="W31" s="5" t="e">
        <f>#REF!</f>
        <v>#REF!</v>
      </c>
      <c r="X31" s="6" t="str">
        <f>IFERROR(VLOOKUP(ROWS($X$2:X31),$U$2:$W$151,2,FALSE),"")</f>
        <v/>
      </c>
      <c r="Y31" s="6" t="str">
        <f>IFERROR(VLOOKUP(ROWS($X$2:X31),$U$2:$W$151,3,FALSE),"")</f>
        <v/>
      </c>
      <c r="AA31" s="5">
        <f>IF(ISNUMBER(SEARCH(#REF!,AB31)),MAX($AA$1:AA30)+1,0)</f>
        <v>0</v>
      </c>
      <c r="AB31" s="5" t="e">
        <f>#REF!</f>
        <v>#REF!</v>
      </c>
      <c r="AC31" s="5" t="e">
        <f>#REF!</f>
        <v>#REF!</v>
      </c>
      <c r="AD31" s="6" t="str">
        <f>IFERROR(VLOOKUP(ROWS($AD$2:AD31),$AA$2:$AC$151,2,FALSE),"")</f>
        <v/>
      </c>
      <c r="AE31" s="6" t="str">
        <f>IFERROR(VLOOKUP(ROWS($AD$2:AD31),$AA$2:$AC$151,3,FALSE),"")</f>
        <v/>
      </c>
      <c r="AG31" s="7">
        <f>IF(ISNUMBER(SEARCH(#REF!,AH31)),MAX($AG$1:AG30)+1,0)</f>
        <v>0</v>
      </c>
      <c r="AH31" s="7" t="e">
        <f>#REF!</f>
        <v>#REF!</v>
      </c>
      <c r="AI31" s="7" t="e">
        <f>#REF!</f>
        <v>#REF!</v>
      </c>
      <c r="AJ31" s="8" t="str">
        <f>IFERROR(VLOOKUP(ROWS(AJ$2:AJ31),$AG$2:$AI$151,2,FALSE),"")</f>
        <v/>
      </c>
      <c r="AK31" s="8" t="str">
        <f>IFERROR(VLOOKUP(ROWS($AJ$2:AJ31),$AG$2:$AI$151,3,FALSE),"")</f>
        <v/>
      </c>
      <c r="AM31" s="7">
        <f>IF(ISNUMBER(SEARCH(#REF!,AN31)),MAX($AM$1:AM30)+1,0)</f>
        <v>0</v>
      </c>
      <c r="AN31" s="7" t="e">
        <f>#REF!</f>
        <v>#REF!</v>
      </c>
      <c r="AO31" s="7" t="e">
        <f>#REF!</f>
        <v>#REF!</v>
      </c>
      <c r="AP31" s="8" t="str">
        <f>IFERROR(VLOOKUP(ROWS($AP$2:AP31),$AM$2:$AO$151,2,FALSE),"")</f>
        <v/>
      </c>
      <c r="AQ31" s="8" t="str">
        <f>IFERROR(VLOOKUP(ROWS($AP$2:AP31),$AM$2:$AO$151,3,FALSE),"")</f>
        <v/>
      </c>
      <c r="AS31" s="9">
        <f>IF(ISNUMBER(SEARCH(#REF!,AT31)),MAX($AS$1:AS30)+1,0)</f>
        <v>0</v>
      </c>
      <c r="AT31" s="9" t="e">
        <f>#REF!</f>
        <v>#REF!</v>
      </c>
      <c r="AU31" s="9" t="e">
        <f>#REF!</f>
        <v>#REF!</v>
      </c>
      <c r="AV31" s="10" t="str">
        <f>IFERROR(VLOOKUP(ROWS(AV$2:AV31),$AS$2:$AU$151,2,FALSE),"")</f>
        <v/>
      </c>
      <c r="AW31" s="10" t="str">
        <f>IFERROR(VLOOKUP(ROWS($AV$2:AV31),$AS$2:$AU$151,3,FALSE),"")</f>
        <v/>
      </c>
      <c r="AY31" s="9">
        <f>IF(ISNUMBER(SEARCH(#REF!,AZ31)),MAX($AY$1:AY30)+1,0)</f>
        <v>0</v>
      </c>
      <c r="AZ31" s="9" t="e">
        <f>#REF!</f>
        <v>#REF!</v>
      </c>
      <c r="BA31" s="9" t="e">
        <f>#REF!</f>
        <v>#REF!</v>
      </c>
      <c r="BB31" s="10" t="str">
        <f>IFERROR(VLOOKUP(ROWS($BB$2:BB31),$AY$2:$BA$151,2,FALSE),"")</f>
        <v/>
      </c>
      <c r="BC31" s="10" t="str">
        <f>IFERROR(VLOOKUP(ROWS($BB$2:BB31),$AY$2:$BA$151,3,FALSE),"")</f>
        <v/>
      </c>
    </row>
    <row r="32" spans="3:55" x14ac:dyDescent="0.25">
      <c r="C32" s="3">
        <f>IF(ISNUMBER(SEARCH(#REF!,D32)),MAX($C$1:C31)+1,0)</f>
        <v>0</v>
      </c>
      <c r="D32" s="3" t="e">
        <f>#REF!</f>
        <v>#REF!</v>
      </c>
      <c r="E32" s="3" t="e">
        <f>#REF!</f>
        <v>#REF!</v>
      </c>
      <c r="F32" s="4" t="str">
        <f>IFERROR(VLOOKUP(ROWS($F$2:F32),$C$2:$E$151,2,FALSE),"")</f>
        <v/>
      </c>
      <c r="G32" s="4" t="str">
        <f>IFERROR(VLOOKUP(ROWS($F$2:F32),$C$2:$E$151,3,FALSE),"")</f>
        <v/>
      </c>
      <c r="I32" s="3">
        <f>IF(ISNUMBER(SEARCH(#REF!,J32)),MAX($I$1:I31)+1,0)</f>
        <v>0</v>
      </c>
      <c r="J32" s="3" t="e">
        <f>#REF!</f>
        <v>#REF!</v>
      </c>
      <c r="K32" s="3" t="e">
        <f>#REF!</f>
        <v>#REF!</v>
      </c>
      <c r="L32" s="4" t="str">
        <f>IFERROR(VLOOKUP(ROWS($L$2:L32),$I$2:$K$151,2,FALSE),"")</f>
        <v/>
      </c>
      <c r="M32" s="4" t="str">
        <f>IFERROR(VLOOKUP(ROWS($L$2:L32),$I$2:$K$151,3,FALSE),"")</f>
        <v/>
      </c>
      <c r="O32" s="3">
        <f>IF(ISNUMBER(SEARCH(#REF!,P32)),MAX($O$1:O31)+1,0)</f>
        <v>0</v>
      </c>
      <c r="P32" s="3" t="e">
        <f>#REF!</f>
        <v>#REF!</v>
      </c>
      <c r="Q32" s="3" t="e">
        <f>#REF!</f>
        <v>#REF!</v>
      </c>
      <c r="R32" s="4" t="str">
        <f>IFERROR(VLOOKUP(ROWS($R$2:R32),$O$2:$Q$151,2,FALSE),"")</f>
        <v/>
      </c>
      <c r="S32" s="4" t="str">
        <f>IFERROR(VLOOKUP(ROWS($R$2:R32),$O$2:$Q$151,3,FALSE),"")</f>
        <v/>
      </c>
      <c r="U32" s="5">
        <f>IF(ISNUMBER(SEARCH(#REF!,V32)),MAX($U$1:U31)+1,0)</f>
        <v>0</v>
      </c>
      <c r="V32" s="5" t="e">
        <f>#REF!</f>
        <v>#REF!</v>
      </c>
      <c r="W32" s="5" t="e">
        <f>#REF!</f>
        <v>#REF!</v>
      </c>
      <c r="X32" s="6" t="str">
        <f>IFERROR(VLOOKUP(ROWS($X$2:X32),$U$2:$W$151,2,FALSE),"")</f>
        <v/>
      </c>
      <c r="Y32" s="6" t="str">
        <f>IFERROR(VLOOKUP(ROWS($X$2:X32),$U$2:$W$151,3,FALSE),"")</f>
        <v/>
      </c>
      <c r="AA32" s="5">
        <f>IF(ISNUMBER(SEARCH(#REF!,AB32)),MAX($AA$1:AA31)+1,0)</f>
        <v>0</v>
      </c>
      <c r="AB32" s="5" t="e">
        <f>#REF!</f>
        <v>#REF!</v>
      </c>
      <c r="AC32" s="5" t="e">
        <f>#REF!</f>
        <v>#REF!</v>
      </c>
      <c r="AD32" s="6" t="str">
        <f>IFERROR(VLOOKUP(ROWS($AD$2:AD32),$AA$2:$AC$151,2,FALSE),"")</f>
        <v/>
      </c>
      <c r="AE32" s="6" t="str">
        <f>IFERROR(VLOOKUP(ROWS($AD$2:AD32),$AA$2:$AC$151,3,FALSE),"")</f>
        <v/>
      </c>
      <c r="AG32" s="7">
        <f>IF(ISNUMBER(SEARCH(#REF!,AH32)),MAX($AG$1:AG31)+1,0)</f>
        <v>0</v>
      </c>
      <c r="AH32" s="7" t="e">
        <f>#REF!</f>
        <v>#REF!</v>
      </c>
      <c r="AI32" s="7" t="e">
        <f>#REF!</f>
        <v>#REF!</v>
      </c>
      <c r="AJ32" s="8" t="str">
        <f>IFERROR(VLOOKUP(ROWS(AJ$2:AJ32),$AG$2:$AI$151,2,FALSE),"")</f>
        <v/>
      </c>
      <c r="AK32" s="8" t="str">
        <f>IFERROR(VLOOKUP(ROWS($AJ$2:AJ32),$AG$2:$AI$151,3,FALSE),"")</f>
        <v/>
      </c>
      <c r="AM32" s="7">
        <f>IF(ISNUMBER(SEARCH(#REF!,AN32)),MAX($AM$1:AM31)+1,0)</f>
        <v>0</v>
      </c>
      <c r="AN32" s="7" t="e">
        <f>#REF!</f>
        <v>#REF!</v>
      </c>
      <c r="AO32" s="7" t="e">
        <f>#REF!</f>
        <v>#REF!</v>
      </c>
      <c r="AP32" s="8" t="str">
        <f>IFERROR(VLOOKUP(ROWS($AP$2:AP32),$AM$2:$AO$151,2,FALSE),"")</f>
        <v/>
      </c>
      <c r="AQ32" s="8" t="str">
        <f>IFERROR(VLOOKUP(ROWS($AP$2:AP32),$AM$2:$AO$151,3,FALSE),"")</f>
        <v/>
      </c>
      <c r="AS32" s="9">
        <f>IF(ISNUMBER(SEARCH(#REF!,AT32)),MAX($AS$1:AS31)+1,0)</f>
        <v>0</v>
      </c>
      <c r="AT32" s="9" t="e">
        <f>#REF!</f>
        <v>#REF!</v>
      </c>
      <c r="AU32" s="9" t="e">
        <f>#REF!</f>
        <v>#REF!</v>
      </c>
      <c r="AV32" s="10" t="str">
        <f>IFERROR(VLOOKUP(ROWS(AV$2:AV32),$AS$2:$AU$151,2,FALSE),"")</f>
        <v/>
      </c>
      <c r="AW32" s="10" t="str">
        <f>IFERROR(VLOOKUP(ROWS($AV$2:AV32),$AS$2:$AU$151,3,FALSE),"")</f>
        <v/>
      </c>
      <c r="AY32" s="9">
        <f>IF(ISNUMBER(SEARCH(#REF!,AZ32)),MAX($AY$1:AY31)+1,0)</f>
        <v>0</v>
      </c>
      <c r="AZ32" s="9" t="e">
        <f>#REF!</f>
        <v>#REF!</v>
      </c>
      <c r="BA32" s="9" t="e">
        <f>#REF!</f>
        <v>#REF!</v>
      </c>
      <c r="BB32" s="10" t="str">
        <f>IFERROR(VLOOKUP(ROWS($BB$2:BB32),$AY$2:$BA$151,2,FALSE),"")</f>
        <v/>
      </c>
      <c r="BC32" s="10" t="str">
        <f>IFERROR(VLOOKUP(ROWS($BB$2:BB32),$AY$2:$BA$151,3,FALSE),"")</f>
        <v/>
      </c>
    </row>
    <row r="33" spans="3:55" x14ac:dyDescent="0.25">
      <c r="C33" s="3">
        <f>IF(ISNUMBER(SEARCH(#REF!,D33)),MAX($C$1:C32)+1,0)</f>
        <v>0</v>
      </c>
      <c r="D33" s="3" t="e">
        <f>#REF!</f>
        <v>#REF!</v>
      </c>
      <c r="E33" s="3" t="e">
        <f>#REF!</f>
        <v>#REF!</v>
      </c>
      <c r="F33" s="4" t="str">
        <f>IFERROR(VLOOKUP(ROWS($F$2:F33),$C$2:$E$151,2,FALSE),"")</f>
        <v/>
      </c>
      <c r="G33" s="4" t="str">
        <f>IFERROR(VLOOKUP(ROWS($F$2:F33),$C$2:$E$151,3,FALSE),"")</f>
        <v/>
      </c>
      <c r="I33" s="3">
        <f>IF(ISNUMBER(SEARCH(#REF!,J33)),MAX($I$1:I32)+1,0)</f>
        <v>0</v>
      </c>
      <c r="J33" s="3" t="e">
        <f>#REF!</f>
        <v>#REF!</v>
      </c>
      <c r="K33" s="3" t="e">
        <f>#REF!</f>
        <v>#REF!</v>
      </c>
      <c r="L33" s="4" t="str">
        <f>IFERROR(VLOOKUP(ROWS($L$2:L33),$I$2:$K$151,2,FALSE),"")</f>
        <v/>
      </c>
      <c r="M33" s="4" t="str">
        <f>IFERROR(VLOOKUP(ROWS($L$2:L33),$I$2:$K$151,3,FALSE),"")</f>
        <v/>
      </c>
      <c r="O33" s="3">
        <f>IF(ISNUMBER(SEARCH(#REF!,P33)),MAX($O$1:O32)+1,0)</f>
        <v>0</v>
      </c>
      <c r="P33" s="3" t="e">
        <f>#REF!</f>
        <v>#REF!</v>
      </c>
      <c r="Q33" s="3" t="e">
        <f>#REF!</f>
        <v>#REF!</v>
      </c>
      <c r="R33" s="4" t="str">
        <f>IFERROR(VLOOKUP(ROWS($R$2:R33),$O$2:$Q$151,2,FALSE),"")</f>
        <v/>
      </c>
      <c r="S33" s="4" t="str">
        <f>IFERROR(VLOOKUP(ROWS($R$2:R33),$O$2:$Q$151,3,FALSE),"")</f>
        <v/>
      </c>
      <c r="U33" s="5">
        <f>IF(ISNUMBER(SEARCH(#REF!,V33)),MAX($U$1:U32)+1,0)</f>
        <v>0</v>
      </c>
      <c r="V33" s="5" t="e">
        <f>#REF!</f>
        <v>#REF!</v>
      </c>
      <c r="W33" s="5" t="e">
        <f>#REF!</f>
        <v>#REF!</v>
      </c>
      <c r="X33" s="6" t="str">
        <f>IFERROR(VLOOKUP(ROWS($X$2:X33),$U$2:$W$151,2,FALSE),"")</f>
        <v/>
      </c>
      <c r="Y33" s="6" t="str">
        <f>IFERROR(VLOOKUP(ROWS($X$2:X33),$U$2:$W$151,3,FALSE),"")</f>
        <v/>
      </c>
      <c r="AA33" s="5">
        <f>IF(ISNUMBER(SEARCH(#REF!,AB33)),MAX($AA$1:AA32)+1,0)</f>
        <v>0</v>
      </c>
      <c r="AB33" s="5" t="e">
        <f>#REF!</f>
        <v>#REF!</v>
      </c>
      <c r="AC33" s="5" t="e">
        <f>#REF!</f>
        <v>#REF!</v>
      </c>
      <c r="AD33" s="6" t="str">
        <f>IFERROR(VLOOKUP(ROWS($AD$2:AD33),$AA$2:$AC$151,2,FALSE),"")</f>
        <v/>
      </c>
      <c r="AE33" s="6" t="str">
        <f>IFERROR(VLOOKUP(ROWS($AD$2:AD33),$AA$2:$AC$151,3,FALSE),"")</f>
        <v/>
      </c>
      <c r="AG33" s="7">
        <f>IF(ISNUMBER(SEARCH(#REF!,AH33)),MAX($AG$1:AG32)+1,0)</f>
        <v>0</v>
      </c>
      <c r="AH33" s="7" t="e">
        <f>#REF!</f>
        <v>#REF!</v>
      </c>
      <c r="AI33" s="7" t="e">
        <f>#REF!</f>
        <v>#REF!</v>
      </c>
      <c r="AJ33" s="8" t="str">
        <f>IFERROR(VLOOKUP(ROWS(AJ$2:AJ33),$AG$2:$AI$151,2,FALSE),"")</f>
        <v/>
      </c>
      <c r="AK33" s="8" t="str">
        <f>IFERROR(VLOOKUP(ROWS($AJ$2:AJ33),$AG$2:$AI$151,3,FALSE),"")</f>
        <v/>
      </c>
      <c r="AM33" s="7">
        <f>IF(ISNUMBER(SEARCH(#REF!,AN33)),MAX($AM$1:AM32)+1,0)</f>
        <v>0</v>
      </c>
      <c r="AN33" s="7" t="e">
        <f>#REF!</f>
        <v>#REF!</v>
      </c>
      <c r="AO33" s="7" t="e">
        <f>#REF!</f>
        <v>#REF!</v>
      </c>
      <c r="AP33" s="8" t="str">
        <f>IFERROR(VLOOKUP(ROWS($AP$2:AP33),$AM$2:$AO$151,2,FALSE),"")</f>
        <v/>
      </c>
      <c r="AQ33" s="8" t="str">
        <f>IFERROR(VLOOKUP(ROWS($AP$2:AP33),$AM$2:$AO$151,3,FALSE),"")</f>
        <v/>
      </c>
      <c r="AS33" s="9">
        <f>IF(ISNUMBER(SEARCH(#REF!,AT33)),MAX($AS$1:AS32)+1,0)</f>
        <v>0</v>
      </c>
      <c r="AT33" s="9" t="e">
        <f>#REF!</f>
        <v>#REF!</v>
      </c>
      <c r="AU33" s="9" t="e">
        <f>#REF!</f>
        <v>#REF!</v>
      </c>
      <c r="AV33" s="10" t="str">
        <f>IFERROR(VLOOKUP(ROWS(AV$2:AV33),$AS$2:$AU$151,2,FALSE),"")</f>
        <v/>
      </c>
      <c r="AW33" s="10" t="str">
        <f>IFERROR(VLOOKUP(ROWS($AV$2:AV33),$AS$2:$AU$151,3,FALSE),"")</f>
        <v/>
      </c>
      <c r="AY33" s="9">
        <f>IF(ISNUMBER(SEARCH(#REF!,AZ33)),MAX($AY$1:AY32)+1,0)</f>
        <v>0</v>
      </c>
      <c r="AZ33" s="9" t="e">
        <f>#REF!</f>
        <v>#REF!</v>
      </c>
      <c r="BA33" s="9" t="e">
        <f>#REF!</f>
        <v>#REF!</v>
      </c>
      <c r="BB33" s="10" t="str">
        <f>IFERROR(VLOOKUP(ROWS($BB$2:BB33),$AY$2:$BA$151,2,FALSE),"")</f>
        <v/>
      </c>
      <c r="BC33" s="10" t="str">
        <f>IFERROR(VLOOKUP(ROWS($BB$2:BB33),$AY$2:$BA$151,3,FALSE),"")</f>
        <v/>
      </c>
    </row>
    <row r="34" spans="3:55" x14ac:dyDescent="0.25">
      <c r="C34" s="3">
        <f>IF(ISNUMBER(SEARCH(#REF!,D34)),MAX($C$1:C33)+1,0)</f>
        <v>0</v>
      </c>
      <c r="D34" s="3" t="e">
        <f>#REF!</f>
        <v>#REF!</v>
      </c>
      <c r="E34" s="3" t="e">
        <f>#REF!</f>
        <v>#REF!</v>
      </c>
      <c r="F34" s="4" t="str">
        <f>IFERROR(VLOOKUP(ROWS($F$2:F34),$C$2:$E$151,2,FALSE),"")</f>
        <v/>
      </c>
      <c r="G34" s="4" t="str">
        <f>IFERROR(VLOOKUP(ROWS($F$2:F34),$C$2:$E$151,3,FALSE),"")</f>
        <v/>
      </c>
      <c r="I34" s="3">
        <f>IF(ISNUMBER(SEARCH(#REF!,J34)),MAX($I$1:I33)+1,0)</f>
        <v>0</v>
      </c>
      <c r="J34" s="3" t="e">
        <f>#REF!</f>
        <v>#REF!</v>
      </c>
      <c r="K34" s="3" t="e">
        <f>#REF!</f>
        <v>#REF!</v>
      </c>
      <c r="L34" s="4" t="str">
        <f>IFERROR(VLOOKUP(ROWS($L$2:L34),$I$2:$K$151,2,FALSE),"")</f>
        <v/>
      </c>
      <c r="M34" s="4" t="str">
        <f>IFERROR(VLOOKUP(ROWS($L$2:L34),$I$2:$K$151,3,FALSE),"")</f>
        <v/>
      </c>
      <c r="O34" s="3">
        <f>IF(ISNUMBER(SEARCH(#REF!,P34)),MAX($O$1:O33)+1,0)</f>
        <v>0</v>
      </c>
      <c r="P34" s="3" t="e">
        <f>#REF!</f>
        <v>#REF!</v>
      </c>
      <c r="Q34" s="3" t="e">
        <f>#REF!</f>
        <v>#REF!</v>
      </c>
      <c r="R34" s="4" t="str">
        <f>IFERROR(VLOOKUP(ROWS($R$2:R34),$O$2:$Q$151,2,FALSE),"")</f>
        <v/>
      </c>
      <c r="S34" s="4" t="str">
        <f>IFERROR(VLOOKUP(ROWS($R$2:R34),$O$2:$Q$151,3,FALSE),"")</f>
        <v/>
      </c>
      <c r="U34" s="5">
        <f>IF(ISNUMBER(SEARCH(#REF!,V34)),MAX($U$1:U33)+1,0)</f>
        <v>0</v>
      </c>
      <c r="V34" s="5" t="e">
        <f>#REF!</f>
        <v>#REF!</v>
      </c>
      <c r="W34" s="5" t="e">
        <f>#REF!</f>
        <v>#REF!</v>
      </c>
      <c r="X34" s="6" t="str">
        <f>IFERROR(VLOOKUP(ROWS($X$2:X34),$U$2:$W$151,2,FALSE),"")</f>
        <v/>
      </c>
      <c r="Y34" s="6" t="str">
        <f>IFERROR(VLOOKUP(ROWS($X$2:X34),$U$2:$W$151,3,FALSE),"")</f>
        <v/>
      </c>
      <c r="AA34" s="5">
        <f>IF(ISNUMBER(SEARCH(#REF!,AB34)),MAX($AA$1:AA33)+1,0)</f>
        <v>0</v>
      </c>
      <c r="AB34" s="5" t="e">
        <f>#REF!</f>
        <v>#REF!</v>
      </c>
      <c r="AC34" s="5" t="e">
        <f>#REF!</f>
        <v>#REF!</v>
      </c>
      <c r="AD34" s="6" t="str">
        <f>IFERROR(VLOOKUP(ROWS($AD$2:AD34),$AA$2:$AC$151,2,FALSE),"")</f>
        <v/>
      </c>
      <c r="AE34" s="6" t="str">
        <f>IFERROR(VLOOKUP(ROWS($AD$2:AD34),$AA$2:$AC$151,3,FALSE),"")</f>
        <v/>
      </c>
      <c r="AG34" s="7">
        <f>IF(ISNUMBER(SEARCH(#REF!,AH34)),MAX($AG$1:AG33)+1,0)</f>
        <v>0</v>
      </c>
      <c r="AH34" s="7" t="e">
        <f>#REF!</f>
        <v>#REF!</v>
      </c>
      <c r="AI34" s="7" t="e">
        <f>#REF!</f>
        <v>#REF!</v>
      </c>
      <c r="AJ34" s="8" t="str">
        <f>IFERROR(VLOOKUP(ROWS(AJ$2:AJ34),$AG$2:$AI$151,2,FALSE),"")</f>
        <v/>
      </c>
      <c r="AK34" s="8" t="str">
        <f>IFERROR(VLOOKUP(ROWS($AJ$2:AJ34),$AG$2:$AI$151,3,FALSE),"")</f>
        <v/>
      </c>
      <c r="AM34" s="7">
        <f>IF(ISNUMBER(SEARCH(#REF!,AN34)),MAX($AM$1:AM33)+1,0)</f>
        <v>0</v>
      </c>
      <c r="AN34" s="7" t="e">
        <f>#REF!</f>
        <v>#REF!</v>
      </c>
      <c r="AO34" s="7" t="e">
        <f>#REF!</f>
        <v>#REF!</v>
      </c>
      <c r="AP34" s="8" t="str">
        <f>IFERROR(VLOOKUP(ROWS($AP$2:AP34),$AM$2:$AO$151,2,FALSE),"")</f>
        <v/>
      </c>
      <c r="AQ34" s="8" t="str">
        <f>IFERROR(VLOOKUP(ROWS($AP$2:AP34),$AM$2:$AO$151,3,FALSE),"")</f>
        <v/>
      </c>
      <c r="AS34" s="9">
        <f>IF(ISNUMBER(SEARCH(#REF!,AT34)),MAX($AS$1:AS33)+1,0)</f>
        <v>0</v>
      </c>
      <c r="AT34" s="9" t="e">
        <f>#REF!</f>
        <v>#REF!</v>
      </c>
      <c r="AU34" s="9" t="e">
        <f>#REF!</f>
        <v>#REF!</v>
      </c>
      <c r="AV34" s="10" t="str">
        <f>IFERROR(VLOOKUP(ROWS(AV$2:AV34),$AS$2:$AU$151,2,FALSE),"")</f>
        <v/>
      </c>
      <c r="AW34" s="10" t="str">
        <f>IFERROR(VLOOKUP(ROWS($AV$2:AV34),$AS$2:$AU$151,3,FALSE),"")</f>
        <v/>
      </c>
      <c r="AY34" s="9">
        <f>IF(ISNUMBER(SEARCH(#REF!,AZ34)),MAX($AY$1:AY33)+1,0)</f>
        <v>0</v>
      </c>
      <c r="AZ34" s="9" t="e">
        <f>#REF!</f>
        <v>#REF!</v>
      </c>
      <c r="BA34" s="9" t="e">
        <f>#REF!</f>
        <v>#REF!</v>
      </c>
      <c r="BB34" s="10" t="str">
        <f>IFERROR(VLOOKUP(ROWS($BB$2:BB34),$AY$2:$BA$151,2,FALSE),"")</f>
        <v/>
      </c>
      <c r="BC34" s="10" t="str">
        <f>IFERROR(VLOOKUP(ROWS($BB$2:BB34),$AY$2:$BA$151,3,FALSE),"")</f>
        <v/>
      </c>
    </row>
    <row r="35" spans="3:55" x14ac:dyDescent="0.25">
      <c r="C35" s="3">
        <f>IF(ISNUMBER(SEARCH(#REF!,D35)),MAX($C$1:C34)+1,0)</f>
        <v>0</v>
      </c>
      <c r="D35" s="3" t="e">
        <f>#REF!</f>
        <v>#REF!</v>
      </c>
      <c r="E35" s="3" t="e">
        <f>#REF!</f>
        <v>#REF!</v>
      </c>
      <c r="F35" s="4" t="str">
        <f>IFERROR(VLOOKUP(ROWS($F$2:F35),$C$2:$E$151,2,FALSE),"")</f>
        <v/>
      </c>
      <c r="G35" s="4" t="str">
        <f>IFERROR(VLOOKUP(ROWS($F$2:F35),$C$2:$E$151,3,FALSE),"")</f>
        <v/>
      </c>
      <c r="I35" s="3">
        <f>IF(ISNUMBER(SEARCH(#REF!,J35)),MAX($I$1:I34)+1,0)</f>
        <v>0</v>
      </c>
      <c r="J35" s="3" t="e">
        <f>#REF!</f>
        <v>#REF!</v>
      </c>
      <c r="K35" s="3" t="e">
        <f>#REF!</f>
        <v>#REF!</v>
      </c>
      <c r="L35" s="4" t="str">
        <f>IFERROR(VLOOKUP(ROWS($L$2:L35),$I$2:$K$151,2,FALSE),"")</f>
        <v/>
      </c>
      <c r="M35" s="4" t="str">
        <f>IFERROR(VLOOKUP(ROWS($L$2:L35),$I$2:$K$151,3,FALSE),"")</f>
        <v/>
      </c>
      <c r="O35" s="3">
        <f>IF(ISNUMBER(SEARCH(#REF!,P35)),MAX($O$1:O34)+1,0)</f>
        <v>0</v>
      </c>
      <c r="P35" s="3" t="e">
        <f>#REF!</f>
        <v>#REF!</v>
      </c>
      <c r="Q35" s="3" t="e">
        <f>#REF!</f>
        <v>#REF!</v>
      </c>
      <c r="R35" s="4" t="str">
        <f>IFERROR(VLOOKUP(ROWS($R$2:R35),$O$2:$Q$151,2,FALSE),"")</f>
        <v/>
      </c>
      <c r="S35" s="4" t="str">
        <f>IFERROR(VLOOKUP(ROWS($R$2:R35),$O$2:$Q$151,3,FALSE),"")</f>
        <v/>
      </c>
      <c r="U35" s="5">
        <f>IF(ISNUMBER(SEARCH(#REF!,V35)),MAX($U$1:U34)+1,0)</f>
        <v>0</v>
      </c>
      <c r="V35" s="5" t="e">
        <f>#REF!</f>
        <v>#REF!</v>
      </c>
      <c r="W35" s="5" t="e">
        <f>#REF!</f>
        <v>#REF!</v>
      </c>
      <c r="X35" s="6" t="str">
        <f>IFERROR(VLOOKUP(ROWS($X$2:X35),$U$2:$W$151,2,FALSE),"")</f>
        <v/>
      </c>
      <c r="Y35" s="6" t="str">
        <f>IFERROR(VLOOKUP(ROWS($X$2:X35),$U$2:$W$151,3,FALSE),"")</f>
        <v/>
      </c>
      <c r="AA35" s="5">
        <f>IF(ISNUMBER(SEARCH(#REF!,AB35)),MAX($AA$1:AA34)+1,0)</f>
        <v>0</v>
      </c>
      <c r="AB35" s="5" t="e">
        <f>#REF!</f>
        <v>#REF!</v>
      </c>
      <c r="AC35" s="5" t="e">
        <f>#REF!</f>
        <v>#REF!</v>
      </c>
      <c r="AD35" s="6" t="str">
        <f>IFERROR(VLOOKUP(ROWS($AD$2:AD35),$AA$2:$AC$151,2,FALSE),"")</f>
        <v/>
      </c>
      <c r="AE35" s="6" t="str">
        <f>IFERROR(VLOOKUP(ROWS($AD$2:AD35),$AA$2:$AC$151,3,FALSE),"")</f>
        <v/>
      </c>
      <c r="AG35" s="7">
        <f>IF(ISNUMBER(SEARCH(#REF!,AH35)),MAX($AG$1:AG34)+1,0)</f>
        <v>0</v>
      </c>
      <c r="AH35" s="7" t="e">
        <f>#REF!</f>
        <v>#REF!</v>
      </c>
      <c r="AI35" s="7" t="e">
        <f>#REF!</f>
        <v>#REF!</v>
      </c>
      <c r="AJ35" s="8" t="str">
        <f>IFERROR(VLOOKUP(ROWS(AJ$2:AJ35),$AG$2:$AI$151,2,FALSE),"")</f>
        <v/>
      </c>
      <c r="AK35" s="8" t="str">
        <f>IFERROR(VLOOKUP(ROWS($AJ$2:AJ35),$AG$2:$AI$151,3,FALSE),"")</f>
        <v/>
      </c>
      <c r="AM35" s="7">
        <f>IF(ISNUMBER(SEARCH(#REF!,AN35)),MAX($AM$1:AM34)+1,0)</f>
        <v>0</v>
      </c>
      <c r="AN35" s="7" t="e">
        <f>#REF!</f>
        <v>#REF!</v>
      </c>
      <c r="AO35" s="7" t="e">
        <f>#REF!</f>
        <v>#REF!</v>
      </c>
      <c r="AP35" s="8" t="str">
        <f>IFERROR(VLOOKUP(ROWS($AP$2:AP35),$AM$2:$AO$151,2,FALSE),"")</f>
        <v/>
      </c>
      <c r="AQ35" s="8" t="str">
        <f>IFERROR(VLOOKUP(ROWS($AP$2:AP35),$AM$2:$AO$151,3,FALSE),"")</f>
        <v/>
      </c>
      <c r="AS35" s="9">
        <f>IF(ISNUMBER(SEARCH(#REF!,AT35)),MAX($AS$1:AS34)+1,0)</f>
        <v>0</v>
      </c>
      <c r="AT35" s="9" t="e">
        <f>#REF!</f>
        <v>#REF!</v>
      </c>
      <c r="AU35" s="9" t="e">
        <f>#REF!</f>
        <v>#REF!</v>
      </c>
      <c r="AV35" s="10" t="str">
        <f>IFERROR(VLOOKUP(ROWS(AV$2:AV35),$AS$2:$AU$151,2,FALSE),"")</f>
        <v/>
      </c>
      <c r="AW35" s="10" t="str">
        <f>IFERROR(VLOOKUP(ROWS($AV$2:AV35),$AS$2:$AU$151,3,FALSE),"")</f>
        <v/>
      </c>
      <c r="AY35" s="9">
        <f>IF(ISNUMBER(SEARCH(#REF!,AZ35)),MAX($AY$1:AY34)+1,0)</f>
        <v>0</v>
      </c>
      <c r="AZ35" s="9" t="e">
        <f>#REF!</f>
        <v>#REF!</v>
      </c>
      <c r="BA35" s="9" t="e">
        <f>#REF!</f>
        <v>#REF!</v>
      </c>
      <c r="BB35" s="10" t="str">
        <f>IFERROR(VLOOKUP(ROWS($BB$2:BB35),$AY$2:$BA$151,2,FALSE),"")</f>
        <v/>
      </c>
      <c r="BC35" s="10" t="str">
        <f>IFERROR(VLOOKUP(ROWS($BB$2:BB35),$AY$2:$BA$151,3,FALSE),"")</f>
        <v/>
      </c>
    </row>
    <row r="36" spans="3:55" x14ac:dyDescent="0.25">
      <c r="C36" s="3">
        <f>IF(ISNUMBER(SEARCH(#REF!,D36)),MAX($C$1:C35)+1,0)</f>
        <v>0</v>
      </c>
      <c r="D36" s="3" t="e">
        <f>#REF!</f>
        <v>#REF!</v>
      </c>
      <c r="E36" s="3" t="e">
        <f>#REF!</f>
        <v>#REF!</v>
      </c>
      <c r="F36" s="4" t="str">
        <f>IFERROR(VLOOKUP(ROWS($F$2:F36),$C$2:$E$151,2,FALSE),"")</f>
        <v/>
      </c>
      <c r="G36" s="4" t="str">
        <f>IFERROR(VLOOKUP(ROWS($F$2:F36),$C$2:$E$151,3,FALSE),"")</f>
        <v/>
      </c>
      <c r="I36" s="3">
        <f>IF(ISNUMBER(SEARCH(#REF!,J36)),MAX($I$1:I35)+1,0)</f>
        <v>0</v>
      </c>
      <c r="J36" s="3" t="e">
        <f>#REF!</f>
        <v>#REF!</v>
      </c>
      <c r="K36" s="3" t="e">
        <f>#REF!</f>
        <v>#REF!</v>
      </c>
      <c r="L36" s="4" t="str">
        <f>IFERROR(VLOOKUP(ROWS($L$2:L36),$I$2:$K$151,2,FALSE),"")</f>
        <v/>
      </c>
      <c r="M36" s="4" t="str">
        <f>IFERROR(VLOOKUP(ROWS($L$2:L36),$I$2:$K$151,3,FALSE),"")</f>
        <v/>
      </c>
      <c r="O36" s="3">
        <f>IF(ISNUMBER(SEARCH(#REF!,P36)),MAX($O$1:O35)+1,0)</f>
        <v>0</v>
      </c>
      <c r="P36" s="3" t="e">
        <f>#REF!</f>
        <v>#REF!</v>
      </c>
      <c r="Q36" s="3" t="e">
        <f>#REF!</f>
        <v>#REF!</v>
      </c>
      <c r="R36" s="4" t="str">
        <f>IFERROR(VLOOKUP(ROWS($R$2:R36),$O$2:$Q$151,2,FALSE),"")</f>
        <v/>
      </c>
      <c r="S36" s="4" t="str">
        <f>IFERROR(VLOOKUP(ROWS($R$2:R36),$O$2:$Q$151,3,FALSE),"")</f>
        <v/>
      </c>
      <c r="U36" s="5">
        <f>IF(ISNUMBER(SEARCH(#REF!,V36)),MAX($U$1:U35)+1,0)</f>
        <v>0</v>
      </c>
      <c r="V36" s="5" t="e">
        <f>#REF!</f>
        <v>#REF!</v>
      </c>
      <c r="W36" s="5" t="e">
        <f>#REF!</f>
        <v>#REF!</v>
      </c>
      <c r="X36" s="6" t="str">
        <f>IFERROR(VLOOKUP(ROWS($X$2:X36),$U$2:$W$151,2,FALSE),"")</f>
        <v/>
      </c>
      <c r="Y36" s="6" t="str">
        <f>IFERROR(VLOOKUP(ROWS($X$2:X36),$U$2:$W$151,3,FALSE),"")</f>
        <v/>
      </c>
      <c r="AA36" s="5">
        <f>IF(ISNUMBER(SEARCH(#REF!,AB36)),MAX($AA$1:AA35)+1,0)</f>
        <v>0</v>
      </c>
      <c r="AB36" s="5" t="e">
        <f>#REF!</f>
        <v>#REF!</v>
      </c>
      <c r="AC36" s="5" t="e">
        <f>#REF!</f>
        <v>#REF!</v>
      </c>
      <c r="AD36" s="6" t="str">
        <f>IFERROR(VLOOKUP(ROWS($AD$2:AD36),$AA$2:$AC$151,2,FALSE),"")</f>
        <v/>
      </c>
      <c r="AE36" s="6" t="str">
        <f>IFERROR(VLOOKUP(ROWS($AD$2:AD36),$AA$2:$AC$151,3,FALSE),"")</f>
        <v/>
      </c>
      <c r="AG36" s="7">
        <f>IF(ISNUMBER(SEARCH(#REF!,AH36)),MAX($AG$1:AG35)+1,0)</f>
        <v>0</v>
      </c>
      <c r="AH36" s="7" t="e">
        <f>#REF!</f>
        <v>#REF!</v>
      </c>
      <c r="AI36" s="7" t="e">
        <f>#REF!</f>
        <v>#REF!</v>
      </c>
      <c r="AJ36" s="8" t="str">
        <f>IFERROR(VLOOKUP(ROWS(AJ$2:AJ36),$AG$2:$AI$151,2,FALSE),"")</f>
        <v/>
      </c>
      <c r="AK36" s="8" t="str">
        <f>IFERROR(VLOOKUP(ROWS($AJ$2:AJ36),$AG$2:$AI$151,3,FALSE),"")</f>
        <v/>
      </c>
      <c r="AM36" s="7">
        <f>IF(ISNUMBER(SEARCH(#REF!,AN36)),MAX($AM$1:AM35)+1,0)</f>
        <v>0</v>
      </c>
      <c r="AN36" s="7" t="e">
        <f>#REF!</f>
        <v>#REF!</v>
      </c>
      <c r="AO36" s="7" t="e">
        <f>#REF!</f>
        <v>#REF!</v>
      </c>
      <c r="AP36" s="8" t="str">
        <f>IFERROR(VLOOKUP(ROWS($AP$2:AP36),$AM$2:$AO$151,2,FALSE),"")</f>
        <v/>
      </c>
      <c r="AQ36" s="8" t="str">
        <f>IFERROR(VLOOKUP(ROWS($AP$2:AP36),$AM$2:$AO$151,3,FALSE),"")</f>
        <v/>
      </c>
      <c r="AS36" s="9">
        <f>IF(ISNUMBER(SEARCH(#REF!,AT36)),MAX($AS$1:AS35)+1,0)</f>
        <v>0</v>
      </c>
      <c r="AT36" s="9" t="e">
        <f>#REF!</f>
        <v>#REF!</v>
      </c>
      <c r="AU36" s="9" t="e">
        <f>#REF!</f>
        <v>#REF!</v>
      </c>
      <c r="AV36" s="10" t="str">
        <f>IFERROR(VLOOKUP(ROWS(AV$2:AV36),$AS$2:$AU$151,2,FALSE),"")</f>
        <v/>
      </c>
      <c r="AW36" s="10" t="str">
        <f>IFERROR(VLOOKUP(ROWS($AV$2:AV36),$AS$2:$AU$151,3,FALSE),"")</f>
        <v/>
      </c>
      <c r="AY36" s="9">
        <f>IF(ISNUMBER(SEARCH(#REF!,AZ36)),MAX($AY$1:AY35)+1,0)</f>
        <v>0</v>
      </c>
      <c r="AZ36" s="9" t="e">
        <f>#REF!</f>
        <v>#REF!</v>
      </c>
      <c r="BA36" s="9" t="e">
        <f>#REF!</f>
        <v>#REF!</v>
      </c>
      <c r="BB36" s="10" t="str">
        <f>IFERROR(VLOOKUP(ROWS($BB$2:BB36),$AY$2:$BA$151,2,FALSE),"")</f>
        <v/>
      </c>
      <c r="BC36" s="10" t="str">
        <f>IFERROR(VLOOKUP(ROWS($BB$2:BB36),$AY$2:$BA$151,3,FALSE),"")</f>
        <v/>
      </c>
    </row>
    <row r="37" spans="3:55" x14ac:dyDescent="0.25">
      <c r="C37" s="3">
        <f>IF(ISNUMBER(SEARCH(#REF!,D37)),MAX($C$1:C36)+1,0)</f>
        <v>0</v>
      </c>
      <c r="D37" s="3" t="e">
        <f>#REF!</f>
        <v>#REF!</v>
      </c>
      <c r="E37" s="3" t="e">
        <f>#REF!</f>
        <v>#REF!</v>
      </c>
      <c r="F37" s="4" t="str">
        <f>IFERROR(VLOOKUP(ROWS($F$2:F37),$C$2:$E$151,2,FALSE),"")</f>
        <v/>
      </c>
      <c r="G37" s="4" t="str">
        <f>IFERROR(VLOOKUP(ROWS($F$2:F37),$C$2:$E$151,3,FALSE),"")</f>
        <v/>
      </c>
      <c r="I37" s="3">
        <f>IF(ISNUMBER(SEARCH(#REF!,J37)),MAX($I$1:I36)+1,0)</f>
        <v>0</v>
      </c>
      <c r="J37" s="3" t="e">
        <f>#REF!</f>
        <v>#REF!</v>
      </c>
      <c r="K37" s="3" t="e">
        <f>#REF!</f>
        <v>#REF!</v>
      </c>
      <c r="L37" s="4" t="str">
        <f>IFERROR(VLOOKUP(ROWS($L$2:L37),$I$2:$K$151,2,FALSE),"")</f>
        <v/>
      </c>
      <c r="M37" s="4" t="str">
        <f>IFERROR(VLOOKUP(ROWS($L$2:L37),$I$2:$K$151,3,FALSE),"")</f>
        <v/>
      </c>
      <c r="O37" s="3">
        <f>IF(ISNUMBER(SEARCH(#REF!,P37)),MAX($O$1:O36)+1,0)</f>
        <v>0</v>
      </c>
      <c r="P37" s="3" t="e">
        <f>#REF!</f>
        <v>#REF!</v>
      </c>
      <c r="Q37" s="3" t="e">
        <f>#REF!</f>
        <v>#REF!</v>
      </c>
      <c r="R37" s="4" t="str">
        <f>IFERROR(VLOOKUP(ROWS($R$2:R37),$O$2:$Q$151,2,FALSE),"")</f>
        <v/>
      </c>
      <c r="S37" s="4" t="str">
        <f>IFERROR(VLOOKUP(ROWS($R$2:R37),$O$2:$Q$151,3,FALSE),"")</f>
        <v/>
      </c>
      <c r="U37" s="5">
        <f>IF(ISNUMBER(SEARCH(#REF!,V37)),MAX($U$1:U36)+1,0)</f>
        <v>0</v>
      </c>
      <c r="V37" s="5" t="e">
        <f>#REF!</f>
        <v>#REF!</v>
      </c>
      <c r="W37" s="5" t="e">
        <f>#REF!</f>
        <v>#REF!</v>
      </c>
      <c r="X37" s="6" t="str">
        <f>IFERROR(VLOOKUP(ROWS($X$2:X37),$U$2:$W$151,2,FALSE),"")</f>
        <v/>
      </c>
      <c r="Y37" s="6" t="str">
        <f>IFERROR(VLOOKUP(ROWS($X$2:X37),$U$2:$W$151,3,FALSE),"")</f>
        <v/>
      </c>
      <c r="AA37" s="5">
        <f>IF(ISNUMBER(SEARCH(#REF!,AB37)),MAX($AA$1:AA36)+1,0)</f>
        <v>0</v>
      </c>
      <c r="AB37" s="5" t="e">
        <f>#REF!</f>
        <v>#REF!</v>
      </c>
      <c r="AC37" s="5" t="e">
        <f>#REF!</f>
        <v>#REF!</v>
      </c>
      <c r="AD37" s="6" t="str">
        <f>IFERROR(VLOOKUP(ROWS($AD$2:AD37),$AA$2:$AC$151,2,FALSE),"")</f>
        <v/>
      </c>
      <c r="AE37" s="6" t="str">
        <f>IFERROR(VLOOKUP(ROWS($AD$2:AD37),$AA$2:$AC$151,3,FALSE),"")</f>
        <v/>
      </c>
      <c r="AG37" s="7">
        <f>IF(ISNUMBER(SEARCH(#REF!,AH37)),MAX($AG$1:AG36)+1,0)</f>
        <v>0</v>
      </c>
      <c r="AH37" s="7" t="e">
        <f>#REF!</f>
        <v>#REF!</v>
      </c>
      <c r="AI37" s="7" t="e">
        <f>#REF!</f>
        <v>#REF!</v>
      </c>
      <c r="AJ37" s="8" t="str">
        <f>IFERROR(VLOOKUP(ROWS(AJ$2:AJ37),$AG$2:$AI$151,2,FALSE),"")</f>
        <v/>
      </c>
      <c r="AK37" s="8" t="str">
        <f>IFERROR(VLOOKUP(ROWS($AJ$2:AJ37),$AG$2:$AI$151,3,FALSE),"")</f>
        <v/>
      </c>
      <c r="AM37" s="7">
        <f>IF(ISNUMBER(SEARCH(#REF!,AN37)),MAX($AM$1:AM36)+1,0)</f>
        <v>0</v>
      </c>
      <c r="AN37" s="7" t="e">
        <f>#REF!</f>
        <v>#REF!</v>
      </c>
      <c r="AO37" s="7" t="e">
        <f>#REF!</f>
        <v>#REF!</v>
      </c>
      <c r="AP37" s="8" t="str">
        <f>IFERROR(VLOOKUP(ROWS($AP$2:AP37),$AM$2:$AO$151,2,FALSE),"")</f>
        <v/>
      </c>
      <c r="AQ37" s="8" t="str">
        <f>IFERROR(VLOOKUP(ROWS($AP$2:AP37),$AM$2:$AO$151,3,FALSE),"")</f>
        <v/>
      </c>
      <c r="AS37" s="9">
        <f>IF(ISNUMBER(SEARCH(#REF!,AT37)),MAX($AS$1:AS36)+1,0)</f>
        <v>0</v>
      </c>
      <c r="AT37" s="9" t="e">
        <f>#REF!</f>
        <v>#REF!</v>
      </c>
      <c r="AU37" s="9" t="e">
        <f>#REF!</f>
        <v>#REF!</v>
      </c>
      <c r="AV37" s="10" t="str">
        <f>IFERROR(VLOOKUP(ROWS(AV$2:AV37),$AS$2:$AU$151,2,FALSE),"")</f>
        <v/>
      </c>
      <c r="AW37" s="10" t="str">
        <f>IFERROR(VLOOKUP(ROWS($AV$2:AV37),$AS$2:$AU$151,3,FALSE),"")</f>
        <v/>
      </c>
      <c r="AY37" s="9">
        <f>IF(ISNUMBER(SEARCH(#REF!,AZ37)),MAX($AY$1:AY36)+1,0)</f>
        <v>0</v>
      </c>
      <c r="AZ37" s="9" t="e">
        <f>#REF!</f>
        <v>#REF!</v>
      </c>
      <c r="BA37" s="9" t="e">
        <f>#REF!</f>
        <v>#REF!</v>
      </c>
      <c r="BB37" s="10" t="str">
        <f>IFERROR(VLOOKUP(ROWS($BB$2:BB37),$AY$2:$BA$151,2,FALSE),"")</f>
        <v/>
      </c>
      <c r="BC37" s="10" t="str">
        <f>IFERROR(VLOOKUP(ROWS($BB$2:BB37),$AY$2:$BA$151,3,FALSE),"")</f>
        <v/>
      </c>
    </row>
    <row r="38" spans="3:55" x14ac:dyDescent="0.25">
      <c r="C38" s="3">
        <f>IF(ISNUMBER(SEARCH(#REF!,D38)),MAX($C$1:C37)+1,0)</f>
        <v>0</v>
      </c>
      <c r="D38" s="3" t="e">
        <f>#REF!</f>
        <v>#REF!</v>
      </c>
      <c r="E38" s="3" t="e">
        <f>#REF!</f>
        <v>#REF!</v>
      </c>
      <c r="F38" s="4" t="str">
        <f>IFERROR(VLOOKUP(ROWS($F$2:F38),$C$2:$E$151,2,FALSE),"")</f>
        <v/>
      </c>
      <c r="G38" s="4" t="str">
        <f>IFERROR(VLOOKUP(ROWS($F$2:F38),$C$2:$E$151,3,FALSE),"")</f>
        <v/>
      </c>
      <c r="I38" s="3">
        <f>IF(ISNUMBER(SEARCH(#REF!,J38)),MAX($I$1:I37)+1,0)</f>
        <v>0</v>
      </c>
      <c r="J38" s="3" t="e">
        <f>#REF!</f>
        <v>#REF!</v>
      </c>
      <c r="K38" s="3" t="e">
        <f>#REF!</f>
        <v>#REF!</v>
      </c>
      <c r="L38" s="4" t="str">
        <f>IFERROR(VLOOKUP(ROWS($L$2:L38),$I$2:$K$151,2,FALSE),"")</f>
        <v/>
      </c>
      <c r="M38" s="4" t="str">
        <f>IFERROR(VLOOKUP(ROWS($L$2:L38),$I$2:$K$151,3,FALSE),"")</f>
        <v/>
      </c>
      <c r="O38" s="3">
        <f>IF(ISNUMBER(SEARCH(#REF!,P38)),MAX($O$1:O37)+1,0)</f>
        <v>0</v>
      </c>
      <c r="P38" s="3" t="e">
        <f>#REF!</f>
        <v>#REF!</v>
      </c>
      <c r="Q38" s="3" t="e">
        <f>#REF!</f>
        <v>#REF!</v>
      </c>
      <c r="R38" s="4" t="str">
        <f>IFERROR(VLOOKUP(ROWS($R$2:R38),$O$2:$Q$151,2,FALSE),"")</f>
        <v/>
      </c>
      <c r="S38" s="4" t="str">
        <f>IFERROR(VLOOKUP(ROWS($R$2:R38),$O$2:$Q$151,3,FALSE),"")</f>
        <v/>
      </c>
      <c r="U38" s="5">
        <f>IF(ISNUMBER(SEARCH(#REF!,V38)),MAX($U$1:U37)+1,0)</f>
        <v>0</v>
      </c>
      <c r="V38" s="5" t="e">
        <f>#REF!</f>
        <v>#REF!</v>
      </c>
      <c r="W38" s="5" t="e">
        <f>#REF!</f>
        <v>#REF!</v>
      </c>
      <c r="X38" s="6" t="str">
        <f>IFERROR(VLOOKUP(ROWS($X$2:X38),$U$2:$W$151,2,FALSE),"")</f>
        <v/>
      </c>
      <c r="Y38" s="6" t="str">
        <f>IFERROR(VLOOKUP(ROWS($X$2:X38),$U$2:$W$151,3,FALSE),"")</f>
        <v/>
      </c>
      <c r="AA38" s="5">
        <f>IF(ISNUMBER(SEARCH(#REF!,AB38)),MAX($AA$1:AA37)+1,0)</f>
        <v>0</v>
      </c>
      <c r="AB38" s="5" t="e">
        <f>#REF!</f>
        <v>#REF!</v>
      </c>
      <c r="AC38" s="5" t="e">
        <f>#REF!</f>
        <v>#REF!</v>
      </c>
      <c r="AD38" s="6" t="str">
        <f>IFERROR(VLOOKUP(ROWS($AD$2:AD38),$AA$2:$AC$151,2,FALSE),"")</f>
        <v/>
      </c>
      <c r="AE38" s="6" t="str">
        <f>IFERROR(VLOOKUP(ROWS($AD$2:AD38),$AA$2:$AC$151,3,FALSE),"")</f>
        <v/>
      </c>
      <c r="AG38" s="7">
        <f>IF(ISNUMBER(SEARCH(#REF!,AH38)),MAX($AG$1:AG37)+1,0)</f>
        <v>0</v>
      </c>
      <c r="AH38" s="7" t="e">
        <f>#REF!</f>
        <v>#REF!</v>
      </c>
      <c r="AI38" s="7" t="e">
        <f>#REF!</f>
        <v>#REF!</v>
      </c>
      <c r="AJ38" s="8" t="str">
        <f>IFERROR(VLOOKUP(ROWS(AJ$2:AJ38),$AG$2:$AI$151,2,FALSE),"")</f>
        <v/>
      </c>
      <c r="AK38" s="8" t="str">
        <f>IFERROR(VLOOKUP(ROWS($AJ$2:AJ38),$AG$2:$AI$151,3,FALSE),"")</f>
        <v/>
      </c>
      <c r="AM38" s="7">
        <f>IF(ISNUMBER(SEARCH(#REF!,AN38)),MAX($AM$1:AM37)+1,0)</f>
        <v>0</v>
      </c>
      <c r="AN38" s="7" t="e">
        <f>#REF!</f>
        <v>#REF!</v>
      </c>
      <c r="AO38" s="7" t="e">
        <f>#REF!</f>
        <v>#REF!</v>
      </c>
      <c r="AP38" s="8" t="str">
        <f>IFERROR(VLOOKUP(ROWS($AP$2:AP38),$AM$2:$AO$151,2,FALSE),"")</f>
        <v/>
      </c>
      <c r="AQ38" s="8" t="str">
        <f>IFERROR(VLOOKUP(ROWS($AP$2:AP38),$AM$2:$AO$151,3,FALSE),"")</f>
        <v/>
      </c>
      <c r="AS38" s="9">
        <f>IF(ISNUMBER(SEARCH(#REF!,AT38)),MAX($AS$1:AS37)+1,0)</f>
        <v>0</v>
      </c>
      <c r="AT38" s="9" t="e">
        <f>#REF!</f>
        <v>#REF!</v>
      </c>
      <c r="AU38" s="9" t="e">
        <f>#REF!</f>
        <v>#REF!</v>
      </c>
      <c r="AV38" s="10" t="str">
        <f>IFERROR(VLOOKUP(ROWS(AV$2:AV38),$AS$2:$AU$151,2,FALSE),"")</f>
        <v/>
      </c>
      <c r="AW38" s="10" t="str">
        <f>IFERROR(VLOOKUP(ROWS($AV$2:AV38),$AS$2:$AU$151,3,FALSE),"")</f>
        <v/>
      </c>
      <c r="AY38" s="9">
        <f>IF(ISNUMBER(SEARCH(#REF!,AZ38)),MAX($AY$1:AY37)+1,0)</f>
        <v>0</v>
      </c>
      <c r="AZ38" s="9" t="e">
        <f>#REF!</f>
        <v>#REF!</v>
      </c>
      <c r="BA38" s="9" t="e">
        <f>#REF!</f>
        <v>#REF!</v>
      </c>
      <c r="BB38" s="10" t="str">
        <f>IFERROR(VLOOKUP(ROWS($BB$2:BB38),$AY$2:$BA$151,2,FALSE),"")</f>
        <v/>
      </c>
      <c r="BC38" s="10" t="str">
        <f>IFERROR(VLOOKUP(ROWS($BB$2:BB38),$AY$2:$BA$151,3,FALSE),"")</f>
        <v/>
      </c>
    </row>
    <row r="39" spans="3:55" x14ac:dyDescent="0.25">
      <c r="C39" s="3">
        <f>IF(ISNUMBER(SEARCH(#REF!,D39)),MAX($C$1:C38)+1,0)</f>
        <v>0</v>
      </c>
      <c r="D39" s="3" t="e">
        <f>#REF!</f>
        <v>#REF!</v>
      </c>
      <c r="E39" s="3" t="e">
        <f>#REF!</f>
        <v>#REF!</v>
      </c>
      <c r="F39" s="4" t="str">
        <f>IFERROR(VLOOKUP(ROWS($F$2:F39),$C$2:$E$151,2,FALSE),"")</f>
        <v/>
      </c>
      <c r="G39" s="4" t="str">
        <f>IFERROR(VLOOKUP(ROWS($F$2:F39),$C$2:$E$151,3,FALSE),"")</f>
        <v/>
      </c>
      <c r="I39" s="3">
        <f>IF(ISNUMBER(SEARCH(#REF!,J39)),MAX($I$1:I38)+1,0)</f>
        <v>0</v>
      </c>
      <c r="J39" s="3" t="e">
        <f>#REF!</f>
        <v>#REF!</v>
      </c>
      <c r="K39" s="3" t="e">
        <f>#REF!</f>
        <v>#REF!</v>
      </c>
      <c r="L39" s="4" t="str">
        <f>IFERROR(VLOOKUP(ROWS($L$2:L39),$I$2:$K$151,2,FALSE),"")</f>
        <v/>
      </c>
      <c r="M39" s="4" t="str">
        <f>IFERROR(VLOOKUP(ROWS($L$2:L39),$I$2:$K$151,3,FALSE),"")</f>
        <v/>
      </c>
      <c r="O39" s="3">
        <f>IF(ISNUMBER(SEARCH(#REF!,P39)),MAX($O$1:O38)+1,0)</f>
        <v>0</v>
      </c>
      <c r="P39" s="3" t="e">
        <f>#REF!</f>
        <v>#REF!</v>
      </c>
      <c r="Q39" s="3" t="e">
        <f>#REF!</f>
        <v>#REF!</v>
      </c>
      <c r="R39" s="4" t="str">
        <f>IFERROR(VLOOKUP(ROWS($R$2:R39),$O$2:$Q$151,2,FALSE),"")</f>
        <v/>
      </c>
      <c r="S39" s="4" t="str">
        <f>IFERROR(VLOOKUP(ROWS($R$2:R39),$O$2:$Q$151,3,FALSE),"")</f>
        <v/>
      </c>
      <c r="U39" s="5">
        <f>IF(ISNUMBER(SEARCH(#REF!,V39)),MAX($U$1:U38)+1,0)</f>
        <v>0</v>
      </c>
      <c r="V39" s="5" t="e">
        <f>#REF!</f>
        <v>#REF!</v>
      </c>
      <c r="W39" s="5" t="e">
        <f>#REF!</f>
        <v>#REF!</v>
      </c>
      <c r="X39" s="6" t="str">
        <f>IFERROR(VLOOKUP(ROWS($X$2:X39),$U$2:$W$151,2,FALSE),"")</f>
        <v/>
      </c>
      <c r="Y39" s="6" t="str">
        <f>IFERROR(VLOOKUP(ROWS($X$2:X39),$U$2:$W$151,3,FALSE),"")</f>
        <v/>
      </c>
      <c r="AA39" s="5">
        <f>IF(ISNUMBER(SEARCH(#REF!,AB39)),MAX($AA$1:AA38)+1,0)</f>
        <v>0</v>
      </c>
      <c r="AB39" s="5" t="e">
        <f>#REF!</f>
        <v>#REF!</v>
      </c>
      <c r="AC39" s="5" t="e">
        <f>#REF!</f>
        <v>#REF!</v>
      </c>
      <c r="AD39" s="6" t="str">
        <f>IFERROR(VLOOKUP(ROWS($AD$2:AD39),$AA$2:$AC$151,2,FALSE),"")</f>
        <v/>
      </c>
      <c r="AE39" s="6" t="str">
        <f>IFERROR(VLOOKUP(ROWS($AD$2:AD39),$AA$2:$AC$151,3,FALSE),"")</f>
        <v/>
      </c>
      <c r="AG39" s="7">
        <f>IF(ISNUMBER(SEARCH(#REF!,AH39)),MAX($AG$1:AG38)+1,0)</f>
        <v>0</v>
      </c>
      <c r="AH39" s="7" t="e">
        <f>#REF!</f>
        <v>#REF!</v>
      </c>
      <c r="AI39" s="7" t="e">
        <f>#REF!</f>
        <v>#REF!</v>
      </c>
      <c r="AJ39" s="8" t="str">
        <f>IFERROR(VLOOKUP(ROWS(AJ$2:AJ39),$AG$2:$AI$151,2,FALSE),"")</f>
        <v/>
      </c>
      <c r="AK39" s="8" t="str">
        <f>IFERROR(VLOOKUP(ROWS($AJ$2:AJ39),$AG$2:$AI$151,3,FALSE),"")</f>
        <v/>
      </c>
      <c r="AM39" s="7">
        <f>IF(ISNUMBER(SEARCH(#REF!,AN39)),MAX($AM$1:AM38)+1,0)</f>
        <v>0</v>
      </c>
      <c r="AN39" s="7" t="e">
        <f>#REF!</f>
        <v>#REF!</v>
      </c>
      <c r="AO39" s="7" t="e">
        <f>#REF!</f>
        <v>#REF!</v>
      </c>
      <c r="AP39" s="8" t="str">
        <f>IFERROR(VLOOKUP(ROWS($AP$2:AP39),$AM$2:$AO$151,2,FALSE),"")</f>
        <v/>
      </c>
      <c r="AQ39" s="8" t="str">
        <f>IFERROR(VLOOKUP(ROWS($AP$2:AP39),$AM$2:$AO$151,3,FALSE),"")</f>
        <v/>
      </c>
      <c r="AS39" s="9">
        <f>IF(ISNUMBER(SEARCH(#REF!,AT39)),MAX($AS$1:AS38)+1,0)</f>
        <v>0</v>
      </c>
      <c r="AT39" s="9" t="e">
        <f>#REF!</f>
        <v>#REF!</v>
      </c>
      <c r="AU39" s="9" t="e">
        <f>#REF!</f>
        <v>#REF!</v>
      </c>
      <c r="AV39" s="10" t="str">
        <f>IFERROR(VLOOKUP(ROWS(AV$2:AV39),$AS$2:$AU$151,2,FALSE),"")</f>
        <v/>
      </c>
      <c r="AW39" s="10" t="str">
        <f>IFERROR(VLOOKUP(ROWS($AV$2:AV39),$AS$2:$AU$151,3,FALSE),"")</f>
        <v/>
      </c>
      <c r="AY39" s="9">
        <f>IF(ISNUMBER(SEARCH(#REF!,AZ39)),MAX($AY$1:AY38)+1,0)</f>
        <v>0</v>
      </c>
      <c r="AZ39" s="9" t="e">
        <f>#REF!</f>
        <v>#REF!</v>
      </c>
      <c r="BA39" s="9" t="e">
        <f>#REF!</f>
        <v>#REF!</v>
      </c>
      <c r="BB39" s="10" t="str">
        <f>IFERROR(VLOOKUP(ROWS($BB$2:BB39),$AY$2:$BA$151,2,FALSE),"")</f>
        <v/>
      </c>
      <c r="BC39" s="10" t="str">
        <f>IFERROR(VLOOKUP(ROWS($BB$2:BB39),$AY$2:$BA$151,3,FALSE),"")</f>
        <v/>
      </c>
    </row>
    <row r="40" spans="3:55" x14ac:dyDescent="0.25">
      <c r="C40" s="3">
        <f>IF(ISNUMBER(SEARCH(#REF!,D40)),MAX($C$1:C39)+1,0)</f>
        <v>0</v>
      </c>
      <c r="D40" s="3" t="e">
        <f>#REF!</f>
        <v>#REF!</v>
      </c>
      <c r="E40" s="3" t="e">
        <f>#REF!</f>
        <v>#REF!</v>
      </c>
      <c r="F40" s="4" t="str">
        <f>IFERROR(VLOOKUP(ROWS($F$2:F40),$C$2:$E$151,2,FALSE),"")</f>
        <v/>
      </c>
      <c r="G40" s="4" t="str">
        <f>IFERROR(VLOOKUP(ROWS($F$2:F40),$C$2:$E$151,3,FALSE),"")</f>
        <v/>
      </c>
      <c r="I40" s="3">
        <f>IF(ISNUMBER(SEARCH(#REF!,J40)),MAX($I$1:I39)+1,0)</f>
        <v>0</v>
      </c>
      <c r="J40" s="3" t="e">
        <f>#REF!</f>
        <v>#REF!</v>
      </c>
      <c r="K40" s="3" t="e">
        <f>#REF!</f>
        <v>#REF!</v>
      </c>
      <c r="L40" s="4" t="str">
        <f>IFERROR(VLOOKUP(ROWS($L$2:L40),$I$2:$K$151,2,FALSE),"")</f>
        <v/>
      </c>
      <c r="M40" s="4" t="str">
        <f>IFERROR(VLOOKUP(ROWS($L$2:L40),$I$2:$K$151,3,FALSE),"")</f>
        <v/>
      </c>
      <c r="O40" s="3">
        <f>IF(ISNUMBER(SEARCH(#REF!,P40)),MAX($O$1:O39)+1,0)</f>
        <v>0</v>
      </c>
      <c r="P40" s="3" t="e">
        <f>#REF!</f>
        <v>#REF!</v>
      </c>
      <c r="Q40" s="3" t="e">
        <f>#REF!</f>
        <v>#REF!</v>
      </c>
      <c r="R40" s="4" t="str">
        <f>IFERROR(VLOOKUP(ROWS($R$2:R40),$O$2:$Q$151,2,FALSE),"")</f>
        <v/>
      </c>
      <c r="S40" s="4" t="str">
        <f>IFERROR(VLOOKUP(ROWS($R$2:R40),$O$2:$Q$151,3,FALSE),"")</f>
        <v/>
      </c>
      <c r="U40" s="5">
        <f>IF(ISNUMBER(SEARCH(#REF!,V40)),MAX($U$1:U39)+1,0)</f>
        <v>0</v>
      </c>
      <c r="V40" s="5" t="e">
        <f>#REF!</f>
        <v>#REF!</v>
      </c>
      <c r="W40" s="5" t="e">
        <f>#REF!</f>
        <v>#REF!</v>
      </c>
      <c r="X40" s="6" t="str">
        <f>IFERROR(VLOOKUP(ROWS($X$2:X40),$U$2:$W$151,2,FALSE),"")</f>
        <v/>
      </c>
      <c r="Y40" s="6" t="str">
        <f>IFERROR(VLOOKUP(ROWS($X$2:X40),$U$2:$W$151,3,FALSE),"")</f>
        <v/>
      </c>
      <c r="AA40" s="5">
        <f>IF(ISNUMBER(SEARCH(#REF!,AB40)),MAX($AA$1:AA39)+1,0)</f>
        <v>0</v>
      </c>
      <c r="AB40" s="5" t="e">
        <f>#REF!</f>
        <v>#REF!</v>
      </c>
      <c r="AC40" s="5" t="e">
        <f>#REF!</f>
        <v>#REF!</v>
      </c>
      <c r="AD40" s="6" t="str">
        <f>IFERROR(VLOOKUP(ROWS($AD$2:AD40),$AA$2:$AC$151,2,FALSE),"")</f>
        <v/>
      </c>
      <c r="AE40" s="6" t="str">
        <f>IFERROR(VLOOKUP(ROWS($AD$2:AD40),$AA$2:$AC$151,3,FALSE),"")</f>
        <v/>
      </c>
      <c r="AG40" s="7">
        <f>IF(ISNUMBER(SEARCH(#REF!,AH40)),MAX($AG$1:AG39)+1,0)</f>
        <v>0</v>
      </c>
      <c r="AH40" s="7" t="e">
        <f>#REF!</f>
        <v>#REF!</v>
      </c>
      <c r="AI40" s="7" t="e">
        <f>#REF!</f>
        <v>#REF!</v>
      </c>
      <c r="AJ40" s="8" t="str">
        <f>IFERROR(VLOOKUP(ROWS(AJ$2:AJ40),$AG$2:$AI$151,2,FALSE),"")</f>
        <v/>
      </c>
      <c r="AK40" s="8" t="str">
        <f>IFERROR(VLOOKUP(ROWS($AJ$2:AJ40),$AG$2:$AI$151,3,FALSE),"")</f>
        <v/>
      </c>
      <c r="AM40" s="7">
        <f>IF(ISNUMBER(SEARCH(#REF!,AN40)),MAX($AM$1:AM39)+1,0)</f>
        <v>0</v>
      </c>
      <c r="AN40" s="7" t="e">
        <f>#REF!</f>
        <v>#REF!</v>
      </c>
      <c r="AO40" s="7" t="e">
        <f>#REF!</f>
        <v>#REF!</v>
      </c>
      <c r="AP40" s="8" t="str">
        <f>IFERROR(VLOOKUP(ROWS($AP$2:AP40),$AM$2:$AO$151,2,FALSE),"")</f>
        <v/>
      </c>
      <c r="AQ40" s="8" t="str">
        <f>IFERROR(VLOOKUP(ROWS($AP$2:AP40),$AM$2:$AO$151,3,FALSE),"")</f>
        <v/>
      </c>
      <c r="AS40" s="9">
        <f>IF(ISNUMBER(SEARCH(#REF!,AT40)),MAX($AS$1:AS39)+1,0)</f>
        <v>0</v>
      </c>
      <c r="AT40" s="9" t="e">
        <f>#REF!</f>
        <v>#REF!</v>
      </c>
      <c r="AU40" s="9" t="e">
        <f>#REF!</f>
        <v>#REF!</v>
      </c>
      <c r="AV40" s="10" t="str">
        <f>IFERROR(VLOOKUP(ROWS(AV$2:AV40),$AS$2:$AU$151,2,FALSE),"")</f>
        <v/>
      </c>
      <c r="AW40" s="10" t="str">
        <f>IFERROR(VLOOKUP(ROWS($AV$2:AV40),$AS$2:$AU$151,3,FALSE),"")</f>
        <v/>
      </c>
      <c r="AY40" s="9">
        <f>IF(ISNUMBER(SEARCH(#REF!,AZ40)),MAX($AY$1:AY39)+1,0)</f>
        <v>0</v>
      </c>
      <c r="AZ40" s="9" t="e">
        <f>#REF!</f>
        <v>#REF!</v>
      </c>
      <c r="BA40" s="9" t="e">
        <f>#REF!</f>
        <v>#REF!</v>
      </c>
      <c r="BB40" s="10" t="str">
        <f>IFERROR(VLOOKUP(ROWS($BB$2:BB40),$AY$2:$BA$151,2,FALSE),"")</f>
        <v/>
      </c>
      <c r="BC40" s="10" t="str">
        <f>IFERROR(VLOOKUP(ROWS($BB$2:BB40),$AY$2:$BA$151,3,FALSE),"")</f>
        <v/>
      </c>
    </row>
    <row r="41" spans="3:55" x14ac:dyDescent="0.25">
      <c r="C41" s="3">
        <f>IF(ISNUMBER(SEARCH(#REF!,D41)),MAX($C$1:C40)+1,0)</f>
        <v>0</v>
      </c>
      <c r="D41" s="3" t="e">
        <f>#REF!</f>
        <v>#REF!</v>
      </c>
      <c r="E41" s="3" t="e">
        <f>#REF!</f>
        <v>#REF!</v>
      </c>
      <c r="F41" s="4" t="str">
        <f>IFERROR(VLOOKUP(ROWS($F$2:F41),$C$2:$E$151,2,FALSE),"")</f>
        <v/>
      </c>
      <c r="G41" s="4" t="str">
        <f>IFERROR(VLOOKUP(ROWS($F$2:F41),$C$2:$E$151,3,FALSE),"")</f>
        <v/>
      </c>
      <c r="I41" s="3">
        <f>IF(ISNUMBER(SEARCH(#REF!,J41)),MAX($I$1:I40)+1,0)</f>
        <v>0</v>
      </c>
      <c r="J41" s="3" t="e">
        <f>#REF!</f>
        <v>#REF!</v>
      </c>
      <c r="K41" s="3" t="e">
        <f>#REF!</f>
        <v>#REF!</v>
      </c>
      <c r="L41" s="4" t="str">
        <f>IFERROR(VLOOKUP(ROWS($L$2:L41),$I$2:$K$151,2,FALSE),"")</f>
        <v/>
      </c>
      <c r="M41" s="4" t="str">
        <f>IFERROR(VLOOKUP(ROWS($L$2:L41),$I$2:$K$151,3,FALSE),"")</f>
        <v/>
      </c>
      <c r="O41" s="3">
        <f>IF(ISNUMBER(SEARCH(#REF!,P41)),MAX($O$1:O40)+1,0)</f>
        <v>0</v>
      </c>
      <c r="P41" s="3" t="e">
        <f>#REF!</f>
        <v>#REF!</v>
      </c>
      <c r="Q41" s="3" t="e">
        <f>#REF!</f>
        <v>#REF!</v>
      </c>
      <c r="R41" s="4" t="str">
        <f>IFERROR(VLOOKUP(ROWS($R$2:R41),$O$2:$Q$151,2,FALSE),"")</f>
        <v/>
      </c>
      <c r="S41" s="4" t="str">
        <f>IFERROR(VLOOKUP(ROWS($R$2:R41),$O$2:$Q$151,3,FALSE),"")</f>
        <v/>
      </c>
      <c r="U41" s="5">
        <f>IF(ISNUMBER(SEARCH(#REF!,V41)),MAX($U$1:U40)+1,0)</f>
        <v>0</v>
      </c>
      <c r="V41" s="5" t="e">
        <f>#REF!</f>
        <v>#REF!</v>
      </c>
      <c r="W41" s="5" t="e">
        <f>#REF!</f>
        <v>#REF!</v>
      </c>
      <c r="X41" s="6" t="str">
        <f>IFERROR(VLOOKUP(ROWS($X$2:X41),$U$2:$W$151,2,FALSE),"")</f>
        <v/>
      </c>
      <c r="Y41" s="6" t="str">
        <f>IFERROR(VLOOKUP(ROWS($X$2:X41),$U$2:$W$151,3,FALSE),"")</f>
        <v/>
      </c>
      <c r="AA41" s="5">
        <f>IF(ISNUMBER(SEARCH(#REF!,AB41)),MAX($AA$1:AA40)+1,0)</f>
        <v>0</v>
      </c>
      <c r="AB41" s="5" t="e">
        <f>#REF!</f>
        <v>#REF!</v>
      </c>
      <c r="AC41" s="5" t="e">
        <f>#REF!</f>
        <v>#REF!</v>
      </c>
      <c r="AD41" s="6" t="str">
        <f>IFERROR(VLOOKUP(ROWS($AD$2:AD41),$AA$2:$AC$151,2,FALSE),"")</f>
        <v/>
      </c>
      <c r="AE41" s="6" t="str">
        <f>IFERROR(VLOOKUP(ROWS($AD$2:AD41),$AA$2:$AC$151,3,FALSE),"")</f>
        <v/>
      </c>
      <c r="AG41" s="7">
        <f>IF(ISNUMBER(SEARCH(#REF!,AH41)),MAX($AG$1:AG40)+1,0)</f>
        <v>0</v>
      </c>
      <c r="AH41" s="7" t="e">
        <f>#REF!</f>
        <v>#REF!</v>
      </c>
      <c r="AI41" s="7" t="e">
        <f>#REF!</f>
        <v>#REF!</v>
      </c>
      <c r="AJ41" s="8" t="str">
        <f>IFERROR(VLOOKUP(ROWS(AJ$2:AJ41),$AG$2:$AI$151,2,FALSE),"")</f>
        <v/>
      </c>
      <c r="AK41" s="8" t="str">
        <f>IFERROR(VLOOKUP(ROWS($AJ$2:AJ41),$AG$2:$AI$151,3,FALSE),"")</f>
        <v/>
      </c>
      <c r="AM41" s="7">
        <f>IF(ISNUMBER(SEARCH(#REF!,AN41)),MAX($AM$1:AM40)+1,0)</f>
        <v>0</v>
      </c>
      <c r="AN41" s="7" t="e">
        <f>#REF!</f>
        <v>#REF!</v>
      </c>
      <c r="AO41" s="7" t="e">
        <f>#REF!</f>
        <v>#REF!</v>
      </c>
      <c r="AP41" s="8" t="str">
        <f>IFERROR(VLOOKUP(ROWS($AP$2:AP41),$AM$2:$AO$151,2,FALSE),"")</f>
        <v/>
      </c>
      <c r="AQ41" s="8" t="str">
        <f>IFERROR(VLOOKUP(ROWS($AP$2:AP41),$AM$2:$AO$151,3,FALSE),"")</f>
        <v/>
      </c>
      <c r="AS41" s="9">
        <f>IF(ISNUMBER(SEARCH(#REF!,AT41)),MAX($AS$1:AS40)+1,0)</f>
        <v>0</v>
      </c>
      <c r="AT41" s="9" t="e">
        <f>#REF!</f>
        <v>#REF!</v>
      </c>
      <c r="AU41" s="9" t="e">
        <f>#REF!</f>
        <v>#REF!</v>
      </c>
      <c r="AV41" s="10" t="str">
        <f>IFERROR(VLOOKUP(ROWS(AV$2:AV41),$AS$2:$AU$151,2,FALSE),"")</f>
        <v/>
      </c>
      <c r="AW41" s="10" t="str">
        <f>IFERROR(VLOOKUP(ROWS($AV$2:AV41),$AS$2:$AU$151,3,FALSE),"")</f>
        <v/>
      </c>
      <c r="AY41" s="9">
        <f>IF(ISNUMBER(SEARCH(#REF!,AZ41)),MAX($AY$1:AY40)+1,0)</f>
        <v>0</v>
      </c>
      <c r="AZ41" s="9" t="e">
        <f>#REF!</f>
        <v>#REF!</v>
      </c>
      <c r="BA41" s="9" t="e">
        <f>#REF!</f>
        <v>#REF!</v>
      </c>
      <c r="BB41" s="10" t="str">
        <f>IFERROR(VLOOKUP(ROWS($BB$2:BB41),$AY$2:$BA$151,2,FALSE),"")</f>
        <v/>
      </c>
      <c r="BC41" s="10" t="str">
        <f>IFERROR(VLOOKUP(ROWS($BB$2:BB41),$AY$2:$BA$151,3,FALSE),"")</f>
        <v/>
      </c>
    </row>
    <row r="42" spans="3:55" x14ac:dyDescent="0.25">
      <c r="C42" s="3">
        <f>IF(ISNUMBER(SEARCH(#REF!,D42)),MAX($C$1:C41)+1,0)</f>
        <v>0</v>
      </c>
      <c r="D42" s="3" t="e">
        <f>#REF!</f>
        <v>#REF!</v>
      </c>
      <c r="E42" s="3" t="e">
        <f>#REF!</f>
        <v>#REF!</v>
      </c>
      <c r="F42" s="4" t="str">
        <f>IFERROR(VLOOKUP(ROWS($F$2:F42),$C$2:$E$151,2,FALSE),"")</f>
        <v/>
      </c>
      <c r="G42" s="4" t="str">
        <f>IFERROR(VLOOKUP(ROWS($F$2:F42),$C$2:$E$151,3,FALSE),"")</f>
        <v/>
      </c>
      <c r="I42" s="3">
        <f>IF(ISNUMBER(SEARCH(#REF!,J42)),MAX($I$1:I41)+1,0)</f>
        <v>0</v>
      </c>
      <c r="J42" s="3" t="e">
        <f>#REF!</f>
        <v>#REF!</v>
      </c>
      <c r="K42" s="3" t="e">
        <f>#REF!</f>
        <v>#REF!</v>
      </c>
      <c r="L42" s="4" t="str">
        <f>IFERROR(VLOOKUP(ROWS($L$2:L42),$I$2:$K$151,2,FALSE),"")</f>
        <v/>
      </c>
      <c r="M42" s="4" t="str">
        <f>IFERROR(VLOOKUP(ROWS($L$2:L42),$I$2:$K$151,3,FALSE),"")</f>
        <v/>
      </c>
      <c r="O42" s="3">
        <f>IF(ISNUMBER(SEARCH(#REF!,P42)),MAX($O$1:O41)+1,0)</f>
        <v>0</v>
      </c>
      <c r="P42" s="3" t="e">
        <f>#REF!</f>
        <v>#REF!</v>
      </c>
      <c r="Q42" s="3" t="e">
        <f>#REF!</f>
        <v>#REF!</v>
      </c>
      <c r="R42" s="4" t="str">
        <f>IFERROR(VLOOKUP(ROWS($R$2:R42),$O$2:$Q$151,2,FALSE),"")</f>
        <v/>
      </c>
      <c r="S42" s="4" t="str">
        <f>IFERROR(VLOOKUP(ROWS($R$2:R42),$O$2:$Q$151,3,FALSE),"")</f>
        <v/>
      </c>
      <c r="U42" s="5">
        <f>IF(ISNUMBER(SEARCH(#REF!,V42)),MAX($U$1:U41)+1,0)</f>
        <v>0</v>
      </c>
      <c r="V42" s="5" t="e">
        <f>#REF!</f>
        <v>#REF!</v>
      </c>
      <c r="W42" s="5" t="e">
        <f>#REF!</f>
        <v>#REF!</v>
      </c>
      <c r="X42" s="6" t="str">
        <f>IFERROR(VLOOKUP(ROWS($X$2:X42),$U$2:$W$151,2,FALSE),"")</f>
        <v/>
      </c>
      <c r="Y42" s="6" t="str">
        <f>IFERROR(VLOOKUP(ROWS($X$2:X42),$U$2:$W$151,3,FALSE),"")</f>
        <v/>
      </c>
      <c r="AA42" s="5">
        <f>IF(ISNUMBER(SEARCH(#REF!,AB42)),MAX($AA$1:AA41)+1,0)</f>
        <v>0</v>
      </c>
      <c r="AB42" s="5" t="e">
        <f>#REF!</f>
        <v>#REF!</v>
      </c>
      <c r="AC42" s="5" t="e">
        <f>#REF!</f>
        <v>#REF!</v>
      </c>
      <c r="AD42" s="6" t="str">
        <f>IFERROR(VLOOKUP(ROWS($AD$2:AD42),$AA$2:$AC$151,2,FALSE),"")</f>
        <v/>
      </c>
      <c r="AE42" s="6" t="str">
        <f>IFERROR(VLOOKUP(ROWS($AD$2:AD42),$AA$2:$AC$151,3,FALSE),"")</f>
        <v/>
      </c>
      <c r="AG42" s="7">
        <f>IF(ISNUMBER(SEARCH(#REF!,AH42)),MAX($AG$1:AG41)+1,0)</f>
        <v>0</v>
      </c>
      <c r="AH42" s="7" t="e">
        <f>#REF!</f>
        <v>#REF!</v>
      </c>
      <c r="AI42" s="7" t="e">
        <f>#REF!</f>
        <v>#REF!</v>
      </c>
      <c r="AJ42" s="8" t="str">
        <f>IFERROR(VLOOKUP(ROWS(AJ$2:AJ42),$AG$2:$AI$151,2,FALSE),"")</f>
        <v/>
      </c>
      <c r="AK42" s="8" t="str">
        <f>IFERROR(VLOOKUP(ROWS($AJ$2:AJ42),$AG$2:$AI$151,3,FALSE),"")</f>
        <v/>
      </c>
      <c r="AM42" s="7">
        <f>IF(ISNUMBER(SEARCH(#REF!,AN42)),MAX($AM$1:AM41)+1,0)</f>
        <v>0</v>
      </c>
      <c r="AN42" s="7" t="e">
        <f>#REF!</f>
        <v>#REF!</v>
      </c>
      <c r="AO42" s="7" t="e">
        <f>#REF!</f>
        <v>#REF!</v>
      </c>
      <c r="AP42" s="8" t="str">
        <f>IFERROR(VLOOKUP(ROWS($AP$2:AP42),$AM$2:$AO$151,2,FALSE),"")</f>
        <v/>
      </c>
      <c r="AQ42" s="8" t="str">
        <f>IFERROR(VLOOKUP(ROWS($AP$2:AP42),$AM$2:$AO$151,3,FALSE),"")</f>
        <v/>
      </c>
      <c r="AS42" s="9">
        <f>IF(ISNUMBER(SEARCH(#REF!,AT42)),MAX($AS$1:AS41)+1,0)</f>
        <v>0</v>
      </c>
      <c r="AT42" s="9" t="e">
        <f>#REF!</f>
        <v>#REF!</v>
      </c>
      <c r="AU42" s="9" t="e">
        <f>#REF!</f>
        <v>#REF!</v>
      </c>
      <c r="AV42" s="10" t="str">
        <f>IFERROR(VLOOKUP(ROWS(AV$2:AV42),$AS$2:$AU$151,2,FALSE),"")</f>
        <v/>
      </c>
      <c r="AW42" s="10" t="str">
        <f>IFERROR(VLOOKUP(ROWS($AV$2:AV42),$AS$2:$AU$151,3,FALSE),"")</f>
        <v/>
      </c>
      <c r="AY42" s="9">
        <f>IF(ISNUMBER(SEARCH(#REF!,AZ42)),MAX($AY$1:AY41)+1,0)</f>
        <v>0</v>
      </c>
      <c r="AZ42" s="9" t="e">
        <f>#REF!</f>
        <v>#REF!</v>
      </c>
      <c r="BA42" s="9" t="e">
        <f>#REF!</f>
        <v>#REF!</v>
      </c>
      <c r="BB42" s="10" t="str">
        <f>IFERROR(VLOOKUP(ROWS($BB$2:BB42),$AY$2:$BA$151,2,FALSE),"")</f>
        <v/>
      </c>
      <c r="BC42" s="10" t="str">
        <f>IFERROR(VLOOKUP(ROWS($BB$2:BB42),$AY$2:$BA$151,3,FALSE),"")</f>
        <v/>
      </c>
    </row>
    <row r="43" spans="3:55" x14ac:dyDescent="0.25">
      <c r="C43" s="3">
        <f>IF(ISNUMBER(SEARCH(#REF!,D43)),MAX($C$1:C42)+1,0)</f>
        <v>0</v>
      </c>
      <c r="D43" s="3" t="e">
        <f>#REF!</f>
        <v>#REF!</v>
      </c>
      <c r="E43" s="3" t="e">
        <f>#REF!</f>
        <v>#REF!</v>
      </c>
      <c r="F43" s="4" t="str">
        <f>IFERROR(VLOOKUP(ROWS($F$2:F43),$C$2:$E$151,2,FALSE),"")</f>
        <v/>
      </c>
      <c r="G43" s="4" t="str">
        <f>IFERROR(VLOOKUP(ROWS($F$2:F43),$C$2:$E$151,3,FALSE),"")</f>
        <v/>
      </c>
      <c r="I43" s="3">
        <f>IF(ISNUMBER(SEARCH(#REF!,J43)),MAX($I$1:I42)+1,0)</f>
        <v>0</v>
      </c>
      <c r="J43" s="3" t="e">
        <f>#REF!</f>
        <v>#REF!</v>
      </c>
      <c r="K43" s="3" t="e">
        <f>#REF!</f>
        <v>#REF!</v>
      </c>
      <c r="L43" s="4" t="str">
        <f>IFERROR(VLOOKUP(ROWS($L$2:L43),$I$2:$K$151,2,FALSE),"")</f>
        <v/>
      </c>
      <c r="M43" s="4" t="str">
        <f>IFERROR(VLOOKUP(ROWS($L$2:L43),$I$2:$K$151,3,FALSE),"")</f>
        <v/>
      </c>
      <c r="O43" s="3">
        <f>IF(ISNUMBER(SEARCH(#REF!,P43)),MAX($O$1:O42)+1,0)</f>
        <v>0</v>
      </c>
      <c r="P43" s="3" t="e">
        <f>#REF!</f>
        <v>#REF!</v>
      </c>
      <c r="Q43" s="3" t="e">
        <f>#REF!</f>
        <v>#REF!</v>
      </c>
      <c r="R43" s="4" t="str">
        <f>IFERROR(VLOOKUP(ROWS($R$2:R43),$O$2:$Q$151,2,FALSE),"")</f>
        <v/>
      </c>
      <c r="S43" s="4" t="str">
        <f>IFERROR(VLOOKUP(ROWS($R$2:R43),$O$2:$Q$151,3,FALSE),"")</f>
        <v/>
      </c>
      <c r="U43" s="5">
        <f>IF(ISNUMBER(SEARCH(#REF!,V43)),MAX($U$1:U42)+1,0)</f>
        <v>0</v>
      </c>
      <c r="V43" s="5" t="e">
        <f>#REF!</f>
        <v>#REF!</v>
      </c>
      <c r="W43" s="5" t="e">
        <f>#REF!</f>
        <v>#REF!</v>
      </c>
      <c r="X43" s="6" t="str">
        <f>IFERROR(VLOOKUP(ROWS($X$2:X43),$U$2:$W$151,2,FALSE),"")</f>
        <v/>
      </c>
      <c r="Y43" s="6" t="str">
        <f>IFERROR(VLOOKUP(ROWS($X$2:X43),$U$2:$W$151,3,FALSE),"")</f>
        <v/>
      </c>
      <c r="AA43" s="5">
        <f>IF(ISNUMBER(SEARCH(#REF!,AB43)),MAX($AA$1:AA42)+1,0)</f>
        <v>0</v>
      </c>
      <c r="AB43" s="5" t="e">
        <f>#REF!</f>
        <v>#REF!</v>
      </c>
      <c r="AC43" s="5" t="e">
        <f>#REF!</f>
        <v>#REF!</v>
      </c>
      <c r="AD43" s="6" t="str">
        <f>IFERROR(VLOOKUP(ROWS($AD$2:AD43),$AA$2:$AC$151,2,FALSE),"")</f>
        <v/>
      </c>
      <c r="AE43" s="6" t="str">
        <f>IFERROR(VLOOKUP(ROWS($AD$2:AD43),$AA$2:$AC$151,3,FALSE),"")</f>
        <v/>
      </c>
      <c r="AG43" s="7">
        <f>IF(ISNUMBER(SEARCH(#REF!,AH43)),MAX($AG$1:AG42)+1,0)</f>
        <v>0</v>
      </c>
      <c r="AH43" s="7" t="e">
        <f>#REF!</f>
        <v>#REF!</v>
      </c>
      <c r="AI43" s="7" t="e">
        <f>#REF!</f>
        <v>#REF!</v>
      </c>
      <c r="AJ43" s="8" t="str">
        <f>IFERROR(VLOOKUP(ROWS(AJ$2:AJ43),$AG$2:$AI$151,2,FALSE),"")</f>
        <v/>
      </c>
      <c r="AK43" s="8" t="str">
        <f>IFERROR(VLOOKUP(ROWS($AJ$2:AJ43),$AG$2:$AI$151,3,FALSE),"")</f>
        <v/>
      </c>
      <c r="AM43" s="7">
        <f>IF(ISNUMBER(SEARCH(#REF!,AN43)),MAX($AM$1:AM42)+1,0)</f>
        <v>0</v>
      </c>
      <c r="AN43" s="7" t="e">
        <f>#REF!</f>
        <v>#REF!</v>
      </c>
      <c r="AO43" s="7" t="e">
        <f>#REF!</f>
        <v>#REF!</v>
      </c>
      <c r="AP43" s="8" t="str">
        <f>IFERROR(VLOOKUP(ROWS($AP$2:AP43),$AM$2:$AO$151,2,FALSE),"")</f>
        <v/>
      </c>
      <c r="AQ43" s="8" t="str">
        <f>IFERROR(VLOOKUP(ROWS($AP$2:AP43),$AM$2:$AO$151,3,FALSE),"")</f>
        <v/>
      </c>
      <c r="AS43" s="9">
        <f>IF(ISNUMBER(SEARCH(#REF!,AT43)),MAX($AS$1:AS42)+1,0)</f>
        <v>0</v>
      </c>
      <c r="AT43" s="9" t="e">
        <f>#REF!</f>
        <v>#REF!</v>
      </c>
      <c r="AU43" s="9" t="e">
        <f>#REF!</f>
        <v>#REF!</v>
      </c>
      <c r="AV43" s="10" t="str">
        <f>IFERROR(VLOOKUP(ROWS(AV$2:AV43),$AS$2:$AU$151,2,FALSE),"")</f>
        <v/>
      </c>
      <c r="AW43" s="10" t="str">
        <f>IFERROR(VLOOKUP(ROWS($AV$2:AV43),$AS$2:$AU$151,3,FALSE),"")</f>
        <v/>
      </c>
      <c r="AY43" s="9">
        <f>IF(ISNUMBER(SEARCH(#REF!,AZ43)),MAX($AY$1:AY42)+1,0)</f>
        <v>0</v>
      </c>
      <c r="AZ43" s="9" t="e">
        <f>#REF!</f>
        <v>#REF!</v>
      </c>
      <c r="BA43" s="9" t="e">
        <f>#REF!</f>
        <v>#REF!</v>
      </c>
      <c r="BB43" s="10" t="str">
        <f>IFERROR(VLOOKUP(ROWS($BB$2:BB43),$AY$2:$BA$151,2,FALSE),"")</f>
        <v/>
      </c>
      <c r="BC43" s="10" t="str">
        <f>IFERROR(VLOOKUP(ROWS($BB$2:BB43),$AY$2:$BA$151,3,FALSE),"")</f>
        <v/>
      </c>
    </row>
    <row r="44" spans="3:55" x14ac:dyDescent="0.25">
      <c r="C44" s="3">
        <f>IF(ISNUMBER(SEARCH(#REF!,D44)),MAX($C$1:C43)+1,0)</f>
        <v>0</v>
      </c>
      <c r="D44" s="3" t="e">
        <f>#REF!</f>
        <v>#REF!</v>
      </c>
      <c r="E44" s="3" t="e">
        <f>#REF!</f>
        <v>#REF!</v>
      </c>
      <c r="F44" s="4" t="str">
        <f>IFERROR(VLOOKUP(ROWS($F$2:F44),$C$2:$E$151,2,FALSE),"")</f>
        <v/>
      </c>
      <c r="G44" s="4" t="str">
        <f>IFERROR(VLOOKUP(ROWS($F$2:F44),$C$2:$E$151,3,FALSE),"")</f>
        <v/>
      </c>
      <c r="I44" s="3">
        <f>IF(ISNUMBER(SEARCH(#REF!,J44)),MAX($I$1:I43)+1,0)</f>
        <v>0</v>
      </c>
      <c r="J44" s="3" t="e">
        <f>#REF!</f>
        <v>#REF!</v>
      </c>
      <c r="K44" s="3" t="e">
        <f>#REF!</f>
        <v>#REF!</v>
      </c>
      <c r="L44" s="4" t="str">
        <f>IFERROR(VLOOKUP(ROWS($L$2:L44),$I$2:$K$151,2,FALSE),"")</f>
        <v/>
      </c>
      <c r="M44" s="4" t="str">
        <f>IFERROR(VLOOKUP(ROWS($L$2:L44),$I$2:$K$151,3,FALSE),"")</f>
        <v/>
      </c>
      <c r="O44" s="3">
        <f>IF(ISNUMBER(SEARCH(#REF!,P44)),MAX($O$1:O43)+1,0)</f>
        <v>0</v>
      </c>
      <c r="P44" s="3" t="e">
        <f>#REF!</f>
        <v>#REF!</v>
      </c>
      <c r="Q44" s="3" t="e">
        <f>#REF!</f>
        <v>#REF!</v>
      </c>
      <c r="R44" s="4" t="str">
        <f>IFERROR(VLOOKUP(ROWS($R$2:R44),$O$2:$Q$151,2,FALSE),"")</f>
        <v/>
      </c>
      <c r="S44" s="4" t="str">
        <f>IFERROR(VLOOKUP(ROWS($R$2:R44),$O$2:$Q$151,3,FALSE),"")</f>
        <v/>
      </c>
      <c r="U44" s="5">
        <f>IF(ISNUMBER(SEARCH(#REF!,V44)),MAX($U$1:U43)+1,0)</f>
        <v>0</v>
      </c>
      <c r="V44" s="5" t="e">
        <f>#REF!</f>
        <v>#REF!</v>
      </c>
      <c r="W44" s="5" t="e">
        <f>#REF!</f>
        <v>#REF!</v>
      </c>
      <c r="X44" s="6" t="str">
        <f>IFERROR(VLOOKUP(ROWS($X$2:X44),$U$2:$W$151,2,FALSE),"")</f>
        <v/>
      </c>
      <c r="Y44" s="6" t="str">
        <f>IFERROR(VLOOKUP(ROWS($X$2:X44),$U$2:$W$151,3,FALSE),"")</f>
        <v/>
      </c>
      <c r="AA44" s="5">
        <f>IF(ISNUMBER(SEARCH(#REF!,AB44)),MAX($AA$1:AA43)+1,0)</f>
        <v>0</v>
      </c>
      <c r="AB44" s="5" t="e">
        <f>#REF!</f>
        <v>#REF!</v>
      </c>
      <c r="AC44" s="5" t="e">
        <f>#REF!</f>
        <v>#REF!</v>
      </c>
      <c r="AD44" s="6" t="str">
        <f>IFERROR(VLOOKUP(ROWS($AD$2:AD44),$AA$2:$AC$151,2,FALSE),"")</f>
        <v/>
      </c>
      <c r="AE44" s="6" t="str">
        <f>IFERROR(VLOOKUP(ROWS($AD$2:AD44),$AA$2:$AC$151,3,FALSE),"")</f>
        <v/>
      </c>
      <c r="AG44" s="7">
        <f>IF(ISNUMBER(SEARCH(#REF!,AH44)),MAX($AG$1:AG43)+1,0)</f>
        <v>0</v>
      </c>
      <c r="AH44" s="7" t="e">
        <f>#REF!</f>
        <v>#REF!</v>
      </c>
      <c r="AI44" s="7" t="e">
        <f>#REF!</f>
        <v>#REF!</v>
      </c>
      <c r="AJ44" s="8" t="str">
        <f>IFERROR(VLOOKUP(ROWS(AJ$2:AJ44),$AG$2:$AI$151,2,FALSE),"")</f>
        <v/>
      </c>
      <c r="AK44" s="8" t="str">
        <f>IFERROR(VLOOKUP(ROWS($AJ$2:AJ44),$AG$2:$AI$151,3,FALSE),"")</f>
        <v/>
      </c>
      <c r="AM44" s="7">
        <f>IF(ISNUMBER(SEARCH(#REF!,AN44)),MAX($AM$1:AM43)+1,0)</f>
        <v>0</v>
      </c>
      <c r="AN44" s="7" t="e">
        <f>#REF!</f>
        <v>#REF!</v>
      </c>
      <c r="AO44" s="7" t="e">
        <f>#REF!</f>
        <v>#REF!</v>
      </c>
      <c r="AP44" s="8" t="str">
        <f>IFERROR(VLOOKUP(ROWS($AP$2:AP44),$AM$2:$AO$151,2,FALSE),"")</f>
        <v/>
      </c>
      <c r="AQ44" s="8" t="str">
        <f>IFERROR(VLOOKUP(ROWS($AP$2:AP44),$AM$2:$AO$151,3,FALSE),"")</f>
        <v/>
      </c>
      <c r="AS44" s="9">
        <f>IF(ISNUMBER(SEARCH(#REF!,AT44)),MAX($AS$1:AS43)+1,0)</f>
        <v>0</v>
      </c>
      <c r="AT44" s="9" t="e">
        <f>#REF!</f>
        <v>#REF!</v>
      </c>
      <c r="AU44" s="9" t="e">
        <f>#REF!</f>
        <v>#REF!</v>
      </c>
      <c r="AV44" s="10" t="str">
        <f>IFERROR(VLOOKUP(ROWS(AV$2:AV44),$AS$2:$AU$151,2,FALSE),"")</f>
        <v/>
      </c>
      <c r="AW44" s="10" t="str">
        <f>IFERROR(VLOOKUP(ROWS($AV$2:AV44),$AS$2:$AU$151,3,FALSE),"")</f>
        <v/>
      </c>
      <c r="AY44" s="9">
        <f>IF(ISNUMBER(SEARCH(#REF!,AZ44)),MAX($AY$1:AY43)+1,0)</f>
        <v>0</v>
      </c>
      <c r="AZ44" s="9" t="e">
        <f>#REF!</f>
        <v>#REF!</v>
      </c>
      <c r="BA44" s="9" t="e">
        <f>#REF!</f>
        <v>#REF!</v>
      </c>
      <c r="BB44" s="10" t="str">
        <f>IFERROR(VLOOKUP(ROWS($BB$2:BB44),$AY$2:$BA$151,2,FALSE),"")</f>
        <v/>
      </c>
      <c r="BC44" s="10" t="str">
        <f>IFERROR(VLOOKUP(ROWS($BB$2:BB44),$AY$2:$BA$151,3,FALSE),"")</f>
        <v/>
      </c>
    </row>
    <row r="45" spans="3:55" x14ac:dyDescent="0.25">
      <c r="C45" s="3">
        <f>IF(ISNUMBER(SEARCH(#REF!,D45)),MAX($C$1:C44)+1,0)</f>
        <v>0</v>
      </c>
      <c r="D45" s="3" t="e">
        <f>#REF!</f>
        <v>#REF!</v>
      </c>
      <c r="E45" s="3" t="e">
        <f>#REF!</f>
        <v>#REF!</v>
      </c>
      <c r="F45" s="4" t="str">
        <f>IFERROR(VLOOKUP(ROWS($F$2:F45),$C$2:$E$151,2,FALSE),"")</f>
        <v/>
      </c>
      <c r="G45" s="4" t="str">
        <f>IFERROR(VLOOKUP(ROWS($F$2:F45),$C$2:$E$151,3,FALSE),"")</f>
        <v/>
      </c>
      <c r="I45" s="3">
        <f>IF(ISNUMBER(SEARCH(#REF!,J45)),MAX($I$1:I44)+1,0)</f>
        <v>0</v>
      </c>
      <c r="J45" s="3" t="e">
        <f>#REF!</f>
        <v>#REF!</v>
      </c>
      <c r="K45" s="3" t="e">
        <f>#REF!</f>
        <v>#REF!</v>
      </c>
      <c r="L45" s="4" t="str">
        <f>IFERROR(VLOOKUP(ROWS($L$2:L45),$I$2:$K$151,2,FALSE),"")</f>
        <v/>
      </c>
      <c r="M45" s="4" t="str">
        <f>IFERROR(VLOOKUP(ROWS($L$2:L45),$I$2:$K$151,3,FALSE),"")</f>
        <v/>
      </c>
      <c r="O45" s="3">
        <f>IF(ISNUMBER(SEARCH(#REF!,P45)),MAX($O$1:O44)+1,0)</f>
        <v>0</v>
      </c>
      <c r="P45" s="3" t="e">
        <f>#REF!</f>
        <v>#REF!</v>
      </c>
      <c r="Q45" s="3" t="e">
        <f>#REF!</f>
        <v>#REF!</v>
      </c>
      <c r="R45" s="4" t="str">
        <f>IFERROR(VLOOKUP(ROWS($R$2:R45),$O$2:$Q$151,2,FALSE),"")</f>
        <v/>
      </c>
      <c r="S45" s="4" t="str">
        <f>IFERROR(VLOOKUP(ROWS($R$2:R45),$O$2:$Q$151,3,FALSE),"")</f>
        <v/>
      </c>
      <c r="U45" s="5">
        <f>IF(ISNUMBER(SEARCH(#REF!,V45)),MAX($U$1:U44)+1,0)</f>
        <v>0</v>
      </c>
      <c r="V45" s="5" t="e">
        <f>#REF!</f>
        <v>#REF!</v>
      </c>
      <c r="W45" s="5" t="e">
        <f>#REF!</f>
        <v>#REF!</v>
      </c>
      <c r="X45" s="6" t="str">
        <f>IFERROR(VLOOKUP(ROWS($X$2:X45),$U$2:$W$151,2,FALSE),"")</f>
        <v/>
      </c>
      <c r="Y45" s="6" t="str">
        <f>IFERROR(VLOOKUP(ROWS($X$2:X45),$U$2:$W$151,3,FALSE),"")</f>
        <v/>
      </c>
      <c r="AA45" s="5">
        <f>IF(ISNUMBER(SEARCH(#REF!,AB45)),MAX($AA$1:AA44)+1,0)</f>
        <v>0</v>
      </c>
      <c r="AB45" s="5" t="e">
        <f>#REF!</f>
        <v>#REF!</v>
      </c>
      <c r="AC45" s="5" t="e">
        <f>#REF!</f>
        <v>#REF!</v>
      </c>
      <c r="AD45" s="6" t="str">
        <f>IFERROR(VLOOKUP(ROWS($AD$2:AD45),$AA$2:$AC$151,2,FALSE),"")</f>
        <v/>
      </c>
      <c r="AE45" s="6" t="str">
        <f>IFERROR(VLOOKUP(ROWS($AD$2:AD45),$AA$2:$AC$151,3,FALSE),"")</f>
        <v/>
      </c>
      <c r="AG45" s="7">
        <f>IF(ISNUMBER(SEARCH(#REF!,AH45)),MAX($AG$1:AG44)+1,0)</f>
        <v>0</v>
      </c>
      <c r="AH45" s="7" t="e">
        <f>#REF!</f>
        <v>#REF!</v>
      </c>
      <c r="AI45" s="7" t="e">
        <f>#REF!</f>
        <v>#REF!</v>
      </c>
      <c r="AJ45" s="8" t="str">
        <f>IFERROR(VLOOKUP(ROWS(AJ$2:AJ45),$AG$2:$AI$151,2,FALSE),"")</f>
        <v/>
      </c>
      <c r="AK45" s="8" t="str">
        <f>IFERROR(VLOOKUP(ROWS($AJ$2:AJ45),$AG$2:$AI$151,3,FALSE),"")</f>
        <v/>
      </c>
      <c r="AM45" s="7">
        <f>IF(ISNUMBER(SEARCH(#REF!,AN45)),MAX($AM$1:AM44)+1,0)</f>
        <v>0</v>
      </c>
      <c r="AN45" s="7" t="e">
        <f>#REF!</f>
        <v>#REF!</v>
      </c>
      <c r="AO45" s="7" t="e">
        <f>#REF!</f>
        <v>#REF!</v>
      </c>
      <c r="AP45" s="8" t="str">
        <f>IFERROR(VLOOKUP(ROWS($AP$2:AP45),$AM$2:$AO$151,2,FALSE),"")</f>
        <v/>
      </c>
      <c r="AQ45" s="8" t="str">
        <f>IFERROR(VLOOKUP(ROWS($AP$2:AP45),$AM$2:$AO$151,3,FALSE),"")</f>
        <v/>
      </c>
      <c r="AS45" s="9">
        <f>IF(ISNUMBER(SEARCH(#REF!,AT45)),MAX($AS$1:AS44)+1,0)</f>
        <v>0</v>
      </c>
      <c r="AT45" s="9" t="e">
        <f>#REF!</f>
        <v>#REF!</v>
      </c>
      <c r="AU45" s="9" t="e">
        <f>#REF!</f>
        <v>#REF!</v>
      </c>
      <c r="AV45" s="10" t="str">
        <f>IFERROR(VLOOKUP(ROWS(AV$2:AV45),$AS$2:$AU$151,2,FALSE),"")</f>
        <v/>
      </c>
      <c r="AW45" s="10" t="str">
        <f>IFERROR(VLOOKUP(ROWS($AV$2:AV45),$AS$2:$AU$151,3,FALSE),"")</f>
        <v/>
      </c>
      <c r="AY45" s="9">
        <f>IF(ISNUMBER(SEARCH(#REF!,AZ45)),MAX($AY$1:AY44)+1,0)</f>
        <v>0</v>
      </c>
      <c r="AZ45" s="9" t="e">
        <f>#REF!</f>
        <v>#REF!</v>
      </c>
      <c r="BA45" s="9" t="e">
        <f>#REF!</f>
        <v>#REF!</v>
      </c>
      <c r="BB45" s="10" t="str">
        <f>IFERROR(VLOOKUP(ROWS($BB$2:BB45),$AY$2:$BA$151,2,FALSE),"")</f>
        <v/>
      </c>
      <c r="BC45" s="10" t="str">
        <f>IFERROR(VLOOKUP(ROWS($BB$2:BB45),$AY$2:$BA$151,3,FALSE),"")</f>
        <v/>
      </c>
    </row>
    <row r="46" spans="3:55" x14ac:dyDescent="0.25">
      <c r="C46" s="3">
        <f>IF(ISNUMBER(SEARCH(#REF!,D46)),MAX($C$1:C45)+1,0)</f>
        <v>0</v>
      </c>
      <c r="D46" s="3" t="e">
        <f>#REF!</f>
        <v>#REF!</v>
      </c>
      <c r="E46" s="3" t="e">
        <f>#REF!</f>
        <v>#REF!</v>
      </c>
      <c r="F46" s="4" t="str">
        <f>IFERROR(VLOOKUP(ROWS($F$2:F46),$C$2:$E$151,2,FALSE),"")</f>
        <v/>
      </c>
      <c r="G46" s="4" t="str">
        <f>IFERROR(VLOOKUP(ROWS($F$2:F46),$C$2:$E$151,3,FALSE),"")</f>
        <v/>
      </c>
      <c r="I46" s="3">
        <f>IF(ISNUMBER(SEARCH(#REF!,J46)),MAX($I$1:I45)+1,0)</f>
        <v>0</v>
      </c>
      <c r="J46" s="3" t="e">
        <f>#REF!</f>
        <v>#REF!</v>
      </c>
      <c r="K46" s="3" t="e">
        <f>#REF!</f>
        <v>#REF!</v>
      </c>
      <c r="L46" s="4" t="str">
        <f>IFERROR(VLOOKUP(ROWS($L$2:L46),$I$2:$K$151,2,FALSE),"")</f>
        <v/>
      </c>
      <c r="M46" s="4" t="str">
        <f>IFERROR(VLOOKUP(ROWS($L$2:L46),$I$2:$K$151,3,FALSE),"")</f>
        <v/>
      </c>
      <c r="O46" s="3">
        <f>IF(ISNUMBER(SEARCH(#REF!,P46)),MAX($O$1:O45)+1,0)</f>
        <v>0</v>
      </c>
      <c r="P46" s="3" t="e">
        <f>#REF!</f>
        <v>#REF!</v>
      </c>
      <c r="Q46" s="3" t="e">
        <f>#REF!</f>
        <v>#REF!</v>
      </c>
      <c r="R46" s="4" t="str">
        <f>IFERROR(VLOOKUP(ROWS($R$2:R46),$O$2:$Q$151,2,FALSE),"")</f>
        <v/>
      </c>
      <c r="S46" s="4" t="str">
        <f>IFERROR(VLOOKUP(ROWS($R$2:R46),$O$2:$Q$151,3,FALSE),"")</f>
        <v/>
      </c>
      <c r="U46" s="5">
        <f>IF(ISNUMBER(SEARCH(#REF!,V46)),MAX($U$1:U45)+1,0)</f>
        <v>0</v>
      </c>
      <c r="V46" s="5" t="e">
        <f>#REF!</f>
        <v>#REF!</v>
      </c>
      <c r="W46" s="5" t="e">
        <f>#REF!</f>
        <v>#REF!</v>
      </c>
      <c r="X46" s="6" t="str">
        <f>IFERROR(VLOOKUP(ROWS($X$2:X46),$U$2:$W$151,2,FALSE),"")</f>
        <v/>
      </c>
      <c r="Y46" s="6" t="str">
        <f>IFERROR(VLOOKUP(ROWS($X$2:X46),$U$2:$W$151,3,FALSE),"")</f>
        <v/>
      </c>
      <c r="AA46" s="5">
        <f>IF(ISNUMBER(SEARCH(#REF!,AB46)),MAX($AA$1:AA45)+1,0)</f>
        <v>0</v>
      </c>
      <c r="AB46" s="5" t="e">
        <f>#REF!</f>
        <v>#REF!</v>
      </c>
      <c r="AC46" s="5" t="e">
        <f>#REF!</f>
        <v>#REF!</v>
      </c>
      <c r="AD46" s="6" t="str">
        <f>IFERROR(VLOOKUP(ROWS($AD$2:AD46),$AA$2:$AC$151,2,FALSE),"")</f>
        <v/>
      </c>
      <c r="AE46" s="6" t="str">
        <f>IFERROR(VLOOKUP(ROWS($AD$2:AD46),$AA$2:$AC$151,3,FALSE),"")</f>
        <v/>
      </c>
      <c r="AG46" s="7">
        <f>IF(ISNUMBER(SEARCH(#REF!,AH46)),MAX($AG$1:AG45)+1,0)</f>
        <v>0</v>
      </c>
      <c r="AH46" s="7" t="e">
        <f>#REF!</f>
        <v>#REF!</v>
      </c>
      <c r="AI46" s="7" t="e">
        <f>#REF!</f>
        <v>#REF!</v>
      </c>
      <c r="AJ46" s="8" t="str">
        <f>IFERROR(VLOOKUP(ROWS(AJ$2:AJ46),$AG$2:$AI$151,2,FALSE),"")</f>
        <v/>
      </c>
      <c r="AK46" s="8" t="str">
        <f>IFERROR(VLOOKUP(ROWS($AJ$2:AJ46),$AG$2:$AI$151,3,FALSE),"")</f>
        <v/>
      </c>
      <c r="AM46" s="7">
        <f>IF(ISNUMBER(SEARCH(#REF!,AN46)),MAX($AM$1:AM45)+1,0)</f>
        <v>0</v>
      </c>
      <c r="AN46" s="7" t="e">
        <f>#REF!</f>
        <v>#REF!</v>
      </c>
      <c r="AO46" s="7" t="e">
        <f>#REF!</f>
        <v>#REF!</v>
      </c>
      <c r="AP46" s="8" t="str">
        <f>IFERROR(VLOOKUP(ROWS($AP$2:AP46),$AM$2:$AO$151,2,FALSE),"")</f>
        <v/>
      </c>
      <c r="AQ46" s="8" t="str">
        <f>IFERROR(VLOOKUP(ROWS($AP$2:AP46),$AM$2:$AO$151,3,FALSE),"")</f>
        <v/>
      </c>
      <c r="AS46" s="9">
        <f>IF(ISNUMBER(SEARCH(#REF!,AT46)),MAX($AS$1:AS45)+1,0)</f>
        <v>0</v>
      </c>
      <c r="AT46" s="9" t="e">
        <f>#REF!</f>
        <v>#REF!</v>
      </c>
      <c r="AU46" s="9" t="e">
        <f>#REF!</f>
        <v>#REF!</v>
      </c>
      <c r="AV46" s="10" t="str">
        <f>IFERROR(VLOOKUP(ROWS(AV$2:AV46),$AS$2:$AU$151,2,FALSE),"")</f>
        <v/>
      </c>
      <c r="AW46" s="10" t="str">
        <f>IFERROR(VLOOKUP(ROWS($AV$2:AV46),$AS$2:$AU$151,3,FALSE),"")</f>
        <v/>
      </c>
      <c r="AY46" s="9">
        <f>IF(ISNUMBER(SEARCH(#REF!,AZ46)),MAX($AY$1:AY45)+1,0)</f>
        <v>0</v>
      </c>
      <c r="AZ46" s="9" t="e">
        <f>#REF!</f>
        <v>#REF!</v>
      </c>
      <c r="BA46" s="9" t="e">
        <f>#REF!</f>
        <v>#REF!</v>
      </c>
      <c r="BB46" s="10" t="str">
        <f>IFERROR(VLOOKUP(ROWS($BB$2:BB46),$AY$2:$BA$151,2,FALSE),"")</f>
        <v/>
      </c>
      <c r="BC46" s="10" t="str">
        <f>IFERROR(VLOOKUP(ROWS($BB$2:BB46),$AY$2:$BA$151,3,FALSE),"")</f>
        <v/>
      </c>
    </row>
    <row r="47" spans="3:55" x14ac:dyDescent="0.25">
      <c r="C47" s="3">
        <f>IF(ISNUMBER(SEARCH(#REF!,D47)),MAX($C$1:C46)+1,0)</f>
        <v>0</v>
      </c>
      <c r="D47" s="3" t="e">
        <f>#REF!</f>
        <v>#REF!</v>
      </c>
      <c r="E47" s="3" t="e">
        <f>#REF!</f>
        <v>#REF!</v>
      </c>
      <c r="F47" s="4" t="str">
        <f>IFERROR(VLOOKUP(ROWS($F$2:F47),$C$2:$E$151,2,FALSE),"")</f>
        <v/>
      </c>
      <c r="G47" s="4" t="str">
        <f>IFERROR(VLOOKUP(ROWS($F$2:F47),$C$2:$E$151,3,FALSE),"")</f>
        <v/>
      </c>
      <c r="I47" s="3">
        <f>IF(ISNUMBER(SEARCH(#REF!,J47)),MAX($I$1:I46)+1,0)</f>
        <v>0</v>
      </c>
      <c r="J47" s="3" t="e">
        <f>#REF!</f>
        <v>#REF!</v>
      </c>
      <c r="K47" s="3" t="e">
        <f>#REF!</f>
        <v>#REF!</v>
      </c>
      <c r="L47" s="4" t="str">
        <f>IFERROR(VLOOKUP(ROWS($L$2:L47),$I$2:$K$151,2,FALSE),"")</f>
        <v/>
      </c>
      <c r="M47" s="4" t="str">
        <f>IFERROR(VLOOKUP(ROWS($L$2:L47),$I$2:$K$151,3,FALSE),"")</f>
        <v/>
      </c>
      <c r="O47" s="3">
        <f>IF(ISNUMBER(SEARCH(#REF!,P47)),MAX($O$1:O46)+1,0)</f>
        <v>0</v>
      </c>
      <c r="P47" s="3" t="e">
        <f>#REF!</f>
        <v>#REF!</v>
      </c>
      <c r="Q47" s="3" t="e">
        <f>#REF!</f>
        <v>#REF!</v>
      </c>
      <c r="R47" s="4" t="str">
        <f>IFERROR(VLOOKUP(ROWS($R$2:R47),$O$2:$Q$151,2,FALSE),"")</f>
        <v/>
      </c>
      <c r="S47" s="4" t="str">
        <f>IFERROR(VLOOKUP(ROWS($R$2:R47),$O$2:$Q$151,3,FALSE),"")</f>
        <v/>
      </c>
      <c r="U47" s="5">
        <f>IF(ISNUMBER(SEARCH(#REF!,V47)),MAX($U$1:U46)+1,0)</f>
        <v>0</v>
      </c>
      <c r="V47" s="5" t="e">
        <f>#REF!</f>
        <v>#REF!</v>
      </c>
      <c r="W47" s="5" t="e">
        <f>#REF!</f>
        <v>#REF!</v>
      </c>
      <c r="X47" s="6" t="str">
        <f>IFERROR(VLOOKUP(ROWS($X$2:X47),$U$2:$W$151,2,FALSE),"")</f>
        <v/>
      </c>
      <c r="Y47" s="6" t="str">
        <f>IFERROR(VLOOKUP(ROWS($X$2:X47),$U$2:$W$151,3,FALSE),"")</f>
        <v/>
      </c>
      <c r="AA47" s="5">
        <f>IF(ISNUMBER(SEARCH(#REF!,AB47)),MAX($AA$1:AA46)+1,0)</f>
        <v>0</v>
      </c>
      <c r="AB47" s="5" t="e">
        <f>#REF!</f>
        <v>#REF!</v>
      </c>
      <c r="AC47" s="5" t="e">
        <f>#REF!</f>
        <v>#REF!</v>
      </c>
      <c r="AD47" s="6" t="str">
        <f>IFERROR(VLOOKUP(ROWS($AD$2:AD47),$AA$2:$AC$151,2,FALSE),"")</f>
        <v/>
      </c>
      <c r="AE47" s="6" t="str">
        <f>IFERROR(VLOOKUP(ROWS($AD$2:AD47),$AA$2:$AC$151,3,FALSE),"")</f>
        <v/>
      </c>
      <c r="AG47" s="7">
        <f>IF(ISNUMBER(SEARCH(#REF!,AH47)),MAX($AG$1:AG46)+1,0)</f>
        <v>0</v>
      </c>
      <c r="AH47" s="7" t="e">
        <f>#REF!</f>
        <v>#REF!</v>
      </c>
      <c r="AI47" s="7" t="e">
        <f>#REF!</f>
        <v>#REF!</v>
      </c>
      <c r="AJ47" s="8" t="str">
        <f>IFERROR(VLOOKUP(ROWS(AJ$2:AJ47),$AG$2:$AI$151,2,FALSE),"")</f>
        <v/>
      </c>
      <c r="AK47" s="8" t="str">
        <f>IFERROR(VLOOKUP(ROWS($AJ$2:AJ47),$AG$2:$AI$151,3,FALSE),"")</f>
        <v/>
      </c>
      <c r="AM47" s="7">
        <f>IF(ISNUMBER(SEARCH(#REF!,AN47)),MAX($AM$1:AM46)+1,0)</f>
        <v>0</v>
      </c>
      <c r="AN47" s="7" t="e">
        <f>#REF!</f>
        <v>#REF!</v>
      </c>
      <c r="AO47" s="7" t="e">
        <f>#REF!</f>
        <v>#REF!</v>
      </c>
      <c r="AP47" s="8" t="str">
        <f>IFERROR(VLOOKUP(ROWS($AP$2:AP47),$AM$2:$AO$151,2,FALSE),"")</f>
        <v/>
      </c>
      <c r="AQ47" s="8" t="str">
        <f>IFERROR(VLOOKUP(ROWS($AP$2:AP47),$AM$2:$AO$151,3,FALSE),"")</f>
        <v/>
      </c>
      <c r="AS47" s="9">
        <f>IF(ISNUMBER(SEARCH(#REF!,AT47)),MAX($AS$1:AS46)+1,0)</f>
        <v>0</v>
      </c>
      <c r="AT47" s="9" t="e">
        <f>#REF!</f>
        <v>#REF!</v>
      </c>
      <c r="AU47" s="9" t="e">
        <f>#REF!</f>
        <v>#REF!</v>
      </c>
      <c r="AV47" s="10" t="str">
        <f>IFERROR(VLOOKUP(ROWS(AV$2:AV47),$AS$2:$AU$151,2,FALSE),"")</f>
        <v/>
      </c>
      <c r="AW47" s="10" t="str">
        <f>IFERROR(VLOOKUP(ROWS($AV$2:AV47),$AS$2:$AU$151,3,FALSE),"")</f>
        <v/>
      </c>
      <c r="AY47" s="9">
        <f>IF(ISNUMBER(SEARCH(#REF!,AZ47)),MAX($AY$1:AY46)+1,0)</f>
        <v>0</v>
      </c>
      <c r="AZ47" s="9" t="e">
        <f>#REF!</f>
        <v>#REF!</v>
      </c>
      <c r="BA47" s="9" t="e">
        <f>#REF!</f>
        <v>#REF!</v>
      </c>
      <c r="BB47" s="10" t="str">
        <f>IFERROR(VLOOKUP(ROWS($BB$2:BB47),$AY$2:$BA$151,2,FALSE),"")</f>
        <v/>
      </c>
      <c r="BC47" s="10" t="str">
        <f>IFERROR(VLOOKUP(ROWS($BB$2:BB47),$AY$2:$BA$151,3,FALSE),"")</f>
        <v/>
      </c>
    </row>
    <row r="48" spans="3:55" x14ac:dyDescent="0.25">
      <c r="C48" s="3">
        <f>IF(ISNUMBER(SEARCH(#REF!,D48)),MAX($C$1:C47)+1,0)</f>
        <v>0</v>
      </c>
      <c r="D48" s="3" t="e">
        <f>#REF!</f>
        <v>#REF!</v>
      </c>
      <c r="E48" s="3" t="e">
        <f>#REF!</f>
        <v>#REF!</v>
      </c>
      <c r="F48" s="4" t="str">
        <f>IFERROR(VLOOKUP(ROWS($F$2:F48),$C$2:$E$151,2,FALSE),"")</f>
        <v/>
      </c>
      <c r="G48" s="4" t="str">
        <f>IFERROR(VLOOKUP(ROWS($F$2:F48),$C$2:$E$151,3,FALSE),"")</f>
        <v/>
      </c>
      <c r="I48" s="3">
        <f>IF(ISNUMBER(SEARCH(#REF!,J48)),MAX($I$1:I47)+1,0)</f>
        <v>0</v>
      </c>
      <c r="J48" s="3" t="e">
        <f>#REF!</f>
        <v>#REF!</v>
      </c>
      <c r="K48" s="3" t="e">
        <f>#REF!</f>
        <v>#REF!</v>
      </c>
      <c r="L48" s="4" t="str">
        <f>IFERROR(VLOOKUP(ROWS($L$2:L48),$I$2:$K$151,2,FALSE),"")</f>
        <v/>
      </c>
      <c r="M48" s="4" t="str">
        <f>IFERROR(VLOOKUP(ROWS($L$2:L48),$I$2:$K$151,3,FALSE),"")</f>
        <v/>
      </c>
      <c r="O48" s="3">
        <f>IF(ISNUMBER(SEARCH(#REF!,P48)),MAX($O$1:O47)+1,0)</f>
        <v>0</v>
      </c>
      <c r="P48" s="3" t="e">
        <f>#REF!</f>
        <v>#REF!</v>
      </c>
      <c r="Q48" s="3" t="e">
        <f>#REF!</f>
        <v>#REF!</v>
      </c>
      <c r="R48" s="4" t="str">
        <f>IFERROR(VLOOKUP(ROWS($R$2:R48),$O$2:$Q$151,2,FALSE),"")</f>
        <v/>
      </c>
      <c r="S48" s="4" t="str">
        <f>IFERROR(VLOOKUP(ROWS($R$2:R48),$O$2:$Q$151,3,FALSE),"")</f>
        <v/>
      </c>
      <c r="U48" s="5">
        <f>IF(ISNUMBER(SEARCH(#REF!,V48)),MAX($U$1:U47)+1,0)</f>
        <v>0</v>
      </c>
      <c r="V48" s="5" t="e">
        <f>#REF!</f>
        <v>#REF!</v>
      </c>
      <c r="W48" s="5" t="e">
        <f>#REF!</f>
        <v>#REF!</v>
      </c>
      <c r="X48" s="6" t="str">
        <f>IFERROR(VLOOKUP(ROWS($X$2:X48),$U$2:$W$151,2,FALSE),"")</f>
        <v/>
      </c>
      <c r="Y48" s="6" t="str">
        <f>IFERROR(VLOOKUP(ROWS($X$2:X48),$U$2:$W$151,3,FALSE),"")</f>
        <v/>
      </c>
      <c r="AA48" s="5">
        <f>IF(ISNUMBER(SEARCH(#REF!,AB48)),MAX($AA$1:AA47)+1,0)</f>
        <v>0</v>
      </c>
      <c r="AB48" s="5" t="e">
        <f>#REF!</f>
        <v>#REF!</v>
      </c>
      <c r="AC48" s="5" t="e">
        <f>#REF!</f>
        <v>#REF!</v>
      </c>
      <c r="AD48" s="6" t="str">
        <f>IFERROR(VLOOKUP(ROWS($AD$2:AD48),$AA$2:$AC$151,2,FALSE),"")</f>
        <v/>
      </c>
      <c r="AE48" s="6" t="str">
        <f>IFERROR(VLOOKUP(ROWS($AD$2:AD48),$AA$2:$AC$151,3,FALSE),"")</f>
        <v/>
      </c>
      <c r="AG48" s="7">
        <f>IF(ISNUMBER(SEARCH(#REF!,AH48)),MAX($AG$1:AG47)+1,0)</f>
        <v>0</v>
      </c>
      <c r="AH48" s="7" t="e">
        <f>#REF!</f>
        <v>#REF!</v>
      </c>
      <c r="AI48" s="7" t="e">
        <f>#REF!</f>
        <v>#REF!</v>
      </c>
      <c r="AJ48" s="8" t="str">
        <f>IFERROR(VLOOKUP(ROWS(AJ$2:AJ48),$AG$2:$AI$151,2,FALSE),"")</f>
        <v/>
      </c>
      <c r="AK48" s="8" t="str">
        <f>IFERROR(VLOOKUP(ROWS($AJ$2:AJ48),$AG$2:$AI$151,3,FALSE),"")</f>
        <v/>
      </c>
      <c r="AM48" s="7">
        <f>IF(ISNUMBER(SEARCH(#REF!,AN48)),MAX($AM$1:AM47)+1,0)</f>
        <v>0</v>
      </c>
      <c r="AN48" s="7" t="e">
        <f>#REF!</f>
        <v>#REF!</v>
      </c>
      <c r="AO48" s="7" t="e">
        <f>#REF!</f>
        <v>#REF!</v>
      </c>
      <c r="AP48" s="8" t="str">
        <f>IFERROR(VLOOKUP(ROWS($AP$2:AP48),$AM$2:$AO$151,2,FALSE),"")</f>
        <v/>
      </c>
      <c r="AQ48" s="8" t="str">
        <f>IFERROR(VLOOKUP(ROWS($AP$2:AP48),$AM$2:$AO$151,3,FALSE),"")</f>
        <v/>
      </c>
      <c r="AS48" s="9">
        <f>IF(ISNUMBER(SEARCH(#REF!,AT48)),MAX($AS$1:AS47)+1,0)</f>
        <v>0</v>
      </c>
      <c r="AT48" s="9" t="e">
        <f>#REF!</f>
        <v>#REF!</v>
      </c>
      <c r="AU48" s="9" t="e">
        <f>#REF!</f>
        <v>#REF!</v>
      </c>
      <c r="AV48" s="10" t="str">
        <f>IFERROR(VLOOKUP(ROWS(AV$2:AV48),$AS$2:$AU$151,2,FALSE),"")</f>
        <v/>
      </c>
      <c r="AW48" s="10" t="str">
        <f>IFERROR(VLOOKUP(ROWS($AV$2:AV48),$AS$2:$AU$151,3,FALSE),"")</f>
        <v/>
      </c>
      <c r="AY48" s="9">
        <f>IF(ISNUMBER(SEARCH(#REF!,AZ48)),MAX($AY$1:AY47)+1,0)</f>
        <v>0</v>
      </c>
      <c r="AZ48" s="9" t="e">
        <f>#REF!</f>
        <v>#REF!</v>
      </c>
      <c r="BA48" s="9" t="e">
        <f>#REF!</f>
        <v>#REF!</v>
      </c>
      <c r="BB48" s="10" t="str">
        <f>IFERROR(VLOOKUP(ROWS($BB$2:BB48),$AY$2:$BA$151,2,FALSE),"")</f>
        <v/>
      </c>
      <c r="BC48" s="10" t="str">
        <f>IFERROR(VLOOKUP(ROWS($BB$2:BB48),$AY$2:$BA$151,3,FALSE),"")</f>
        <v/>
      </c>
    </row>
    <row r="49" spans="3:55" x14ac:dyDescent="0.25">
      <c r="C49" s="3">
        <f>IF(ISNUMBER(SEARCH(#REF!,D49)),MAX($C$1:C48)+1,0)</f>
        <v>0</v>
      </c>
      <c r="D49" s="3" t="e">
        <f>#REF!</f>
        <v>#REF!</v>
      </c>
      <c r="E49" s="3" t="e">
        <f>#REF!</f>
        <v>#REF!</v>
      </c>
      <c r="F49" s="4" t="str">
        <f>IFERROR(VLOOKUP(ROWS($F$2:F49),$C$2:$E$151,2,FALSE),"")</f>
        <v/>
      </c>
      <c r="G49" s="4" t="str">
        <f>IFERROR(VLOOKUP(ROWS($F$2:F49),$C$2:$E$151,3,FALSE),"")</f>
        <v/>
      </c>
      <c r="I49" s="3">
        <f>IF(ISNUMBER(SEARCH(#REF!,J49)),MAX($I$1:I48)+1,0)</f>
        <v>0</v>
      </c>
      <c r="J49" s="3" t="e">
        <f>#REF!</f>
        <v>#REF!</v>
      </c>
      <c r="K49" s="3" t="e">
        <f>#REF!</f>
        <v>#REF!</v>
      </c>
      <c r="L49" s="4" t="str">
        <f>IFERROR(VLOOKUP(ROWS($L$2:L49),$I$2:$K$151,2,FALSE),"")</f>
        <v/>
      </c>
      <c r="M49" s="4" t="str">
        <f>IFERROR(VLOOKUP(ROWS($L$2:L49),$I$2:$K$151,3,FALSE),"")</f>
        <v/>
      </c>
      <c r="O49" s="3">
        <f>IF(ISNUMBER(SEARCH(#REF!,P49)),MAX($O$1:O48)+1,0)</f>
        <v>0</v>
      </c>
      <c r="P49" s="3" t="e">
        <f>#REF!</f>
        <v>#REF!</v>
      </c>
      <c r="Q49" s="3" t="e">
        <f>#REF!</f>
        <v>#REF!</v>
      </c>
      <c r="R49" s="4" t="str">
        <f>IFERROR(VLOOKUP(ROWS($R$2:R49),$O$2:$Q$151,2,FALSE),"")</f>
        <v/>
      </c>
      <c r="S49" s="4" t="str">
        <f>IFERROR(VLOOKUP(ROWS($R$2:R49),$O$2:$Q$151,3,FALSE),"")</f>
        <v/>
      </c>
      <c r="U49" s="5">
        <f>IF(ISNUMBER(SEARCH(#REF!,V49)),MAX($U$1:U48)+1,0)</f>
        <v>0</v>
      </c>
      <c r="V49" s="5" t="e">
        <f>#REF!</f>
        <v>#REF!</v>
      </c>
      <c r="W49" s="5" t="e">
        <f>#REF!</f>
        <v>#REF!</v>
      </c>
      <c r="X49" s="6" t="str">
        <f>IFERROR(VLOOKUP(ROWS($X$2:X49),$U$2:$W$151,2,FALSE),"")</f>
        <v/>
      </c>
      <c r="Y49" s="6" t="str">
        <f>IFERROR(VLOOKUP(ROWS($X$2:X49),$U$2:$W$151,3,FALSE),"")</f>
        <v/>
      </c>
      <c r="AA49" s="5">
        <f>IF(ISNUMBER(SEARCH(#REF!,AB49)),MAX($AA$1:AA48)+1,0)</f>
        <v>0</v>
      </c>
      <c r="AB49" s="5" t="e">
        <f>#REF!</f>
        <v>#REF!</v>
      </c>
      <c r="AC49" s="5" t="e">
        <f>#REF!</f>
        <v>#REF!</v>
      </c>
      <c r="AD49" s="6" t="str">
        <f>IFERROR(VLOOKUP(ROWS($AD$2:AD49),$AA$2:$AC$151,2,FALSE),"")</f>
        <v/>
      </c>
      <c r="AE49" s="6" t="str">
        <f>IFERROR(VLOOKUP(ROWS($AD$2:AD49),$AA$2:$AC$151,3,FALSE),"")</f>
        <v/>
      </c>
      <c r="AG49" s="7">
        <f>IF(ISNUMBER(SEARCH(#REF!,AH49)),MAX($AG$1:AG48)+1,0)</f>
        <v>0</v>
      </c>
      <c r="AH49" s="7" t="e">
        <f>#REF!</f>
        <v>#REF!</v>
      </c>
      <c r="AI49" s="7" t="e">
        <f>#REF!</f>
        <v>#REF!</v>
      </c>
      <c r="AJ49" s="8" t="str">
        <f>IFERROR(VLOOKUP(ROWS(AJ$2:AJ49),$AG$2:$AI$151,2,FALSE),"")</f>
        <v/>
      </c>
      <c r="AK49" s="8" t="str">
        <f>IFERROR(VLOOKUP(ROWS($AJ$2:AJ49),$AG$2:$AI$151,3,FALSE),"")</f>
        <v/>
      </c>
      <c r="AM49" s="7">
        <f>IF(ISNUMBER(SEARCH(#REF!,AN49)),MAX($AM$1:AM48)+1,0)</f>
        <v>0</v>
      </c>
      <c r="AN49" s="7" t="e">
        <f>#REF!</f>
        <v>#REF!</v>
      </c>
      <c r="AO49" s="7" t="e">
        <f>#REF!</f>
        <v>#REF!</v>
      </c>
      <c r="AP49" s="8" t="str">
        <f>IFERROR(VLOOKUP(ROWS($AP$2:AP49),$AM$2:$AO$151,2,FALSE),"")</f>
        <v/>
      </c>
      <c r="AQ49" s="8" t="str">
        <f>IFERROR(VLOOKUP(ROWS($AP$2:AP49),$AM$2:$AO$151,3,FALSE),"")</f>
        <v/>
      </c>
      <c r="AS49" s="9">
        <f>IF(ISNUMBER(SEARCH(#REF!,AT49)),MAX($AS$1:AS48)+1,0)</f>
        <v>0</v>
      </c>
      <c r="AT49" s="9" t="e">
        <f>#REF!</f>
        <v>#REF!</v>
      </c>
      <c r="AU49" s="9" t="e">
        <f>#REF!</f>
        <v>#REF!</v>
      </c>
      <c r="AV49" s="10" t="str">
        <f>IFERROR(VLOOKUP(ROWS(AV$2:AV49),$AS$2:$AU$151,2,FALSE),"")</f>
        <v/>
      </c>
      <c r="AW49" s="10" t="str">
        <f>IFERROR(VLOOKUP(ROWS($AV$2:AV49),$AS$2:$AU$151,3,FALSE),"")</f>
        <v/>
      </c>
      <c r="AY49" s="9">
        <f>IF(ISNUMBER(SEARCH(#REF!,AZ49)),MAX($AY$1:AY48)+1,0)</f>
        <v>0</v>
      </c>
      <c r="AZ49" s="9" t="e">
        <f>#REF!</f>
        <v>#REF!</v>
      </c>
      <c r="BA49" s="9" t="e">
        <f>#REF!</f>
        <v>#REF!</v>
      </c>
      <c r="BB49" s="10" t="str">
        <f>IFERROR(VLOOKUP(ROWS($BB$2:BB49),$AY$2:$BA$151,2,FALSE),"")</f>
        <v/>
      </c>
      <c r="BC49" s="10" t="str">
        <f>IFERROR(VLOOKUP(ROWS($BB$2:BB49),$AY$2:$BA$151,3,FALSE),"")</f>
        <v/>
      </c>
    </row>
    <row r="50" spans="3:55" x14ac:dyDescent="0.25">
      <c r="C50" s="3">
        <f>IF(ISNUMBER(SEARCH(#REF!,D50)),MAX($C$1:C49)+1,0)</f>
        <v>0</v>
      </c>
      <c r="D50" s="3" t="e">
        <f>#REF!</f>
        <v>#REF!</v>
      </c>
      <c r="E50" s="3" t="e">
        <f>#REF!</f>
        <v>#REF!</v>
      </c>
      <c r="F50" s="4" t="str">
        <f>IFERROR(VLOOKUP(ROWS($F$2:F50),$C$2:$E$151,2,FALSE),"")</f>
        <v/>
      </c>
      <c r="G50" s="4" t="str">
        <f>IFERROR(VLOOKUP(ROWS($F$2:F50),$C$2:$E$151,3,FALSE),"")</f>
        <v/>
      </c>
      <c r="I50" s="3">
        <f>IF(ISNUMBER(SEARCH(#REF!,J50)),MAX($I$1:I49)+1,0)</f>
        <v>0</v>
      </c>
      <c r="J50" s="3" t="e">
        <f>#REF!</f>
        <v>#REF!</v>
      </c>
      <c r="K50" s="3" t="e">
        <f>#REF!</f>
        <v>#REF!</v>
      </c>
      <c r="L50" s="4" t="str">
        <f>IFERROR(VLOOKUP(ROWS($L$2:L50),$I$2:$K$151,2,FALSE),"")</f>
        <v/>
      </c>
      <c r="M50" s="4" t="str">
        <f>IFERROR(VLOOKUP(ROWS($L$2:L50),$I$2:$K$151,3,FALSE),"")</f>
        <v/>
      </c>
      <c r="O50" s="3">
        <f>IF(ISNUMBER(SEARCH(#REF!,P50)),MAX($O$1:O49)+1,0)</f>
        <v>0</v>
      </c>
      <c r="P50" s="3" t="e">
        <f>#REF!</f>
        <v>#REF!</v>
      </c>
      <c r="Q50" s="3" t="e">
        <f>#REF!</f>
        <v>#REF!</v>
      </c>
      <c r="R50" s="4" t="str">
        <f>IFERROR(VLOOKUP(ROWS($R$2:R50),$O$2:$Q$151,2,FALSE),"")</f>
        <v/>
      </c>
      <c r="S50" s="4" t="str">
        <f>IFERROR(VLOOKUP(ROWS($R$2:R50),$O$2:$Q$151,3,FALSE),"")</f>
        <v/>
      </c>
      <c r="U50" s="5">
        <f>IF(ISNUMBER(SEARCH(#REF!,V50)),MAX($U$1:U49)+1,0)</f>
        <v>0</v>
      </c>
      <c r="V50" s="5" t="e">
        <f>#REF!</f>
        <v>#REF!</v>
      </c>
      <c r="W50" s="5" t="e">
        <f>#REF!</f>
        <v>#REF!</v>
      </c>
      <c r="X50" s="6" t="str">
        <f>IFERROR(VLOOKUP(ROWS($X$2:X50),$U$2:$W$151,2,FALSE),"")</f>
        <v/>
      </c>
      <c r="Y50" s="6" t="str">
        <f>IFERROR(VLOOKUP(ROWS($X$2:X50),$U$2:$W$151,3,FALSE),"")</f>
        <v/>
      </c>
      <c r="AA50" s="5">
        <f>IF(ISNUMBER(SEARCH(#REF!,AB50)),MAX($AA$1:AA49)+1,0)</f>
        <v>0</v>
      </c>
      <c r="AB50" s="5" t="e">
        <f>#REF!</f>
        <v>#REF!</v>
      </c>
      <c r="AC50" s="5" t="e">
        <f>#REF!</f>
        <v>#REF!</v>
      </c>
      <c r="AD50" s="6" t="str">
        <f>IFERROR(VLOOKUP(ROWS($AD$2:AD50),$AA$2:$AC$151,2,FALSE),"")</f>
        <v/>
      </c>
      <c r="AE50" s="6" t="str">
        <f>IFERROR(VLOOKUP(ROWS($AD$2:AD50),$AA$2:$AC$151,3,FALSE),"")</f>
        <v/>
      </c>
      <c r="AG50" s="7">
        <f>IF(ISNUMBER(SEARCH(#REF!,AH50)),MAX($AG$1:AG49)+1,0)</f>
        <v>0</v>
      </c>
      <c r="AH50" s="7" t="e">
        <f>#REF!</f>
        <v>#REF!</v>
      </c>
      <c r="AI50" s="7" t="e">
        <f>#REF!</f>
        <v>#REF!</v>
      </c>
      <c r="AJ50" s="8" t="str">
        <f>IFERROR(VLOOKUP(ROWS(AJ$2:AJ50),$AG$2:$AI$151,2,FALSE),"")</f>
        <v/>
      </c>
      <c r="AK50" s="8" t="str">
        <f>IFERROR(VLOOKUP(ROWS($AJ$2:AJ50),$AG$2:$AI$151,3,FALSE),"")</f>
        <v/>
      </c>
      <c r="AM50" s="7">
        <f>IF(ISNUMBER(SEARCH(#REF!,AN50)),MAX($AM$1:AM49)+1,0)</f>
        <v>0</v>
      </c>
      <c r="AN50" s="7" t="e">
        <f>#REF!</f>
        <v>#REF!</v>
      </c>
      <c r="AO50" s="7" t="e">
        <f>#REF!</f>
        <v>#REF!</v>
      </c>
      <c r="AP50" s="8" t="str">
        <f>IFERROR(VLOOKUP(ROWS($AP$2:AP50),$AM$2:$AO$151,2,FALSE),"")</f>
        <v/>
      </c>
      <c r="AQ50" s="8" t="str">
        <f>IFERROR(VLOOKUP(ROWS($AP$2:AP50),$AM$2:$AO$151,3,FALSE),"")</f>
        <v/>
      </c>
      <c r="AS50" s="9">
        <f>IF(ISNUMBER(SEARCH(#REF!,AT50)),MAX($AS$1:AS49)+1,0)</f>
        <v>0</v>
      </c>
      <c r="AT50" s="9" t="e">
        <f>#REF!</f>
        <v>#REF!</v>
      </c>
      <c r="AU50" s="9" t="e">
        <f>#REF!</f>
        <v>#REF!</v>
      </c>
      <c r="AV50" s="10" t="str">
        <f>IFERROR(VLOOKUP(ROWS(AV$2:AV50),$AS$2:$AU$151,2,FALSE),"")</f>
        <v/>
      </c>
      <c r="AW50" s="10" t="str">
        <f>IFERROR(VLOOKUP(ROWS($AV$2:AV50),$AS$2:$AU$151,3,FALSE),"")</f>
        <v/>
      </c>
      <c r="AY50" s="9">
        <f>IF(ISNUMBER(SEARCH(#REF!,AZ50)),MAX($AY$1:AY49)+1,0)</f>
        <v>0</v>
      </c>
      <c r="AZ50" s="9" t="e">
        <f>#REF!</f>
        <v>#REF!</v>
      </c>
      <c r="BA50" s="9" t="e">
        <f>#REF!</f>
        <v>#REF!</v>
      </c>
      <c r="BB50" s="10" t="str">
        <f>IFERROR(VLOOKUP(ROWS($BB$2:BB50),$AY$2:$BA$151,2,FALSE),"")</f>
        <v/>
      </c>
      <c r="BC50" s="10" t="str">
        <f>IFERROR(VLOOKUP(ROWS($BB$2:BB50),$AY$2:$BA$151,3,FALSE),"")</f>
        <v/>
      </c>
    </row>
    <row r="51" spans="3:55" x14ac:dyDescent="0.25">
      <c r="C51" s="3">
        <f>IF(ISNUMBER(SEARCH(#REF!,D51)),MAX($C$1:C50)+1,0)</f>
        <v>0</v>
      </c>
      <c r="D51" s="3" t="e">
        <f>#REF!</f>
        <v>#REF!</v>
      </c>
      <c r="E51" s="3" t="e">
        <f>#REF!</f>
        <v>#REF!</v>
      </c>
      <c r="F51" s="4" t="str">
        <f>IFERROR(VLOOKUP(ROWS($F$2:F51),$C$2:$E$151,2,FALSE),"")</f>
        <v/>
      </c>
      <c r="G51" s="4" t="str">
        <f>IFERROR(VLOOKUP(ROWS($F$2:F51),$C$2:$E$151,3,FALSE),"")</f>
        <v/>
      </c>
      <c r="I51" s="3">
        <f>IF(ISNUMBER(SEARCH(#REF!,J51)),MAX($I$1:I50)+1,0)</f>
        <v>0</v>
      </c>
      <c r="J51" s="3" t="e">
        <f>#REF!</f>
        <v>#REF!</v>
      </c>
      <c r="K51" s="3" t="e">
        <f>#REF!</f>
        <v>#REF!</v>
      </c>
      <c r="L51" s="4" t="str">
        <f>IFERROR(VLOOKUP(ROWS($L$2:L51),$I$2:$K$151,2,FALSE),"")</f>
        <v/>
      </c>
      <c r="M51" s="4" t="str">
        <f>IFERROR(VLOOKUP(ROWS($L$2:L51),$I$2:$K$151,3,FALSE),"")</f>
        <v/>
      </c>
      <c r="O51" s="3">
        <f>IF(ISNUMBER(SEARCH(#REF!,P51)),MAX($O$1:O50)+1,0)</f>
        <v>0</v>
      </c>
      <c r="P51" s="3" t="e">
        <f>#REF!</f>
        <v>#REF!</v>
      </c>
      <c r="Q51" s="3" t="e">
        <f>#REF!</f>
        <v>#REF!</v>
      </c>
      <c r="R51" s="4" t="str">
        <f>IFERROR(VLOOKUP(ROWS($R$2:R51),$O$2:$Q$151,2,FALSE),"")</f>
        <v/>
      </c>
      <c r="S51" s="4" t="str">
        <f>IFERROR(VLOOKUP(ROWS($R$2:R51),$O$2:$Q$151,3,FALSE),"")</f>
        <v/>
      </c>
      <c r="U51" s="5">
        <f>IF(ISNUMBER(SEARCH(#REF!,V51)),MAX($U$1:U50)+1,0)</f>
        <v>0</v>
      </c>
      <c r="V51" s="5" t="e">
        <f>#REF!</f>
        <v>#REF!</v>
      </c>
      <c r="W51" s="5" t="e">
        <f>#REF!</f>
        <v>#REF!</v>
      </c>
      <c r="X51" s="6" t="str">
        <f>IFERROR(VLOOKUP(ROWS($X$2:X51),$U$2:$W$151,2,FALSE),"")</f>
        <v/>
      </c>
      <c r="Y51" s="6" t="str">
        <f>IFERROR(VLOOKUP(ROWS($X$2:X51),$U$2:$W$151,3,FALSE),"")</f>
        <v/>
      </c>
      <c r="AA51" s="5">
        <f>IF(ISNUMBER(SEARCH(#REF!,AB51)),MAX($AA$1:AA50)+1,0)</f>
        <v>0</v>
      </c>
      <c r="AB51" s="5" t="e">
        <f>#REF!</f>
        <v>#REF!</v>
      </c>
      <c r="AC51" s="5" t="e">
        <f>#REF!</f>
        <v>#REF!</v>
      </c>
      <c r="AD51" s="6" t="str">
        <f>IFERROR(VLOOKUP(ROWS($AD$2:AD51),$AA$2:$AC$151,2,FALSE),"")</f>
        <v/>
      </c>
      <c r="AE51" s="6" t="str">
        <f>IFERROR(VLOOKUP(ROWS($AD$2:AD51),$AA$2:$AC$151,3,FALSE),"")</f>
        <v/>
      </c>
      <c r="AG51" s="7">
        <f>IF(ISNUMBER(SEARCH(#REF!,AH51)),MAX($AG$1:AG50)+1,0)</f>
        <v>0</v>
      </c>
      <c r="AH51" s="7" t="e">
        <f>#REF!</f>
        <v>#REF!</v>
      </c>
      <c r="AI51" s="7" t="e">
        <f>#REF!</f>
        <v>#REF!</v>
      </c>
      <c r="AJ51" s="8" t="str">
        <f>IFERROR(VLOOKUP(ROWS(AJ$2:AJ51),$AG$2:$AI$151,2,FALSE),"")</f>
        <v/>
      </c>
      <c r="AK51" s="8" t="str">
        <f>IFERROR(VLOOKUP(ROWS($AJ$2:AJ51),$AG$2:$AI$151,3,FALSE),"")</f>
        <v/>
      </c>
      <c r="AM51" s="7">
        <f>IF(ISNUMBER(SEARCH(#REF!,AN51)),MAX($AM$1:AM50)+1,0)</f>
        <v>0</v>
      </c>
      <c r="AN51" s="7" t="e">
        <f>#REF!</f>
        <v>#REF!</v>
      </c>
      <c r="AO51" s="7" t="e">
        <f>#REF!</f>
        <v>#REF!</v>
      </c>
      <c r="AP51" s="8" t="str">
        <f>IFERROR(VLOOKUP(ROWS($AP$2:AP51),$AM$2:$AO$151,2,FALSE),"")</f>
        <v/>
      </c>
      <c r="AQ51" s="8" t="str">
        <f>IFERROR(VLOOKUP(ROWS($AP$2:AP51),$AM$2:$AO$151,3,FALSE),"")</f>
        <v/>
      </c>
      <c r="AS51" s="9">
        <f>IF(ISNUMBER(SEARCH(#REF!,AT51)),MAX($AS$1:AS50)+1,0)</f>
        <v>0</v>
      </c>
      <c r="AT51" s="9" t="e">
        <f>#REF!</f>
        <v>#REF!</v>
      </c>
      <c r="AU51" s="9" t="e">
        <f>#REF!</f>
        <v>#REF!</v>
      </c>
      <c r="AV51" s="10" t="str">
        <f>IFERROR(VLOOKUP(ROWS(AV$2:AV51),$AS$2:$AU$151,2,FALSE),"")</f>
        <v/>
      </c>
      <c r="AW51" s="10" t="str">
        <f>IFERROR(VLOOKUP(ROWS($AV$2:AV51),$AS$2:$AU$151,3,FALSE),"")</f>
        <v/>
      </c>
      <c r="AY51" s="9">
        <f>IF(ISNUMBER(SEARCH(#REF!,AZ51)),MAX($AY$1:AY50)+1,0)</f>
        <v>0</v>
      </c>
      <c r="AZ51" s="9" t="e">
        <f>#REF!</f>
        <v>#REF!</v>
      </c>
      <c r="BA51" s="9" t="e">
        <f>#REF!</f>
        <v>#REF!</v>
      </c>
      <c r="BB51" s="10" t="str">
        <f>IFERROR(VLOOKUP(ROWS($BB$2:BB51),$AY$2:$BA$151,2,FALSE),"")</f>
        <v/>
      </c>
      <c r="BC51" s="10" t="str">
        <f>IFERROR(VLOOKUP(ROWS($BB$2:BB51),$AY$2:$BA$151,3,FALSE),"")</f>
        <v/>
      </c>
    </row>
    <row r="52" spans="3:55" x14ac:dyDescent="0.25">
      <c r="C52" s="3">
        <f>IF(ISNUMBER(SEARCH(#REF!,D52)),MAX($C$1:C51)+1,0)</f>
        <v>0</v>
      </c>
      <c r="D52" s="3" t="e">
        <f>#REF!</f>
        <v>#REF!</v>
      </c>
      <c r="E52" s="3" t="e">
        <f>#REF!</f>
        <v>#REF!</v>
      </c>
      <c r="F52" s="4" t="str">
        <f>IFERROR(VLOOKUP(ROWS($F$2:F52),$C$2:$E$151,2,FALSE),"")</f>
        <v/>
      </c>
      <c r="G52" s="4" t="str">
        <f>IFERROR(VLOOKUP(ROWS($F$2:F52),$C$2:$E$151,3,FALSE),"")</f>
        <v/>
      </c>
      <c r="I52" s="3">
        <f>IF(ISNUMBER(SEARCH(#REF!,J52)),MAX($I$1:I51)+1,0)</f>
        <v>0</v>
      </c>
      <c r="J52" s="3" t="e">
        <f>#REF!</f>
        <v>#REF!</v>
      </c>
      <c r="K52" s="3" t="e">
        <f>#REF!</f>
        <v>#REF!</v>
      </c>
      <c r="L52" s="4" t="str">
        <f>IFERROR(VLOOKUP(ROWS($L$2:L52),$I$2:$K$151,2,FALSE),"")</f>
        <v/>
      </c>
      <c r="M52" s="4" t="str">
        <f>IFERROR(VLOOKUP(ROWS($L$2:L52),$I$2:$K$151,3,FALSE),"")</f>
        <v/>
      </c>
      <c r="O52" s="3">
        <f>IF(ISNUMBER(SEARCH(#REF!,P52)),MAX($O$1:O51)+1,0)</f>
        <v>0</v>
      </c>
      <c r="P52" s="3" t="e">
        <f>#REF!</f>
        <v>#REF!</v>
      </c>
      <c r="Q52" s="3" t="e">
        <f>#REF!</f>
        <v>#REF!</v>
      </c>
      <c r="R52" s="4" t="str">
        <f>IFERROR(VLOOKUP(ROWS($R$2:R52),$O$2:$Q$151,2,FALSE),"")</f>
        <v/>
      </c>
      <c r="S52" s="4" t="str">
        <f>IFERROR(VLOOKUP(ROWS($R$2:R52),$O$2:$Q$151,3,FALSE),"")</f>
        <v/>
      </c>
      <c r="U52" s="5">
        <f>IF(ISNUMBER(SEARCH(#REF!,V52)),MAX($U$1:U51)+1,0)</f>
        <v>0</v>
      </c>
      <c r="V52" s="5" t="e">
        <f>#REF!</f>
        <v>#REF!</v>
      </c>
      <c r="W52" s="5" t="e">
        <f>#REF!</f>
        <v>#REF!</v>
      </c>
      <c r="X52" s="6" t="str">
        <f>IFERROR(VLOOKUP(ROWS($X$2:X52),$U$2:$W$151,2,FALSE),"")</f>
        <v/>
      </c>
      <c r="Y52" s="6" t="str">
        <f>IFERROR(VLOOKUP(ROWS($X$2:X52),$U$2:$W$151,3,FALSE),"")</f>
        <v/>
      </c>
      <c r="AA52" s="5">
        <f>IF(ISNUMBER(SEARCH(#REF!,AB52)),MAX($AA$1:AA51)+1,0)</f>
        <v>0</v>
      </c>
      <c r="AB52" s="5" t="e">
        <f>#REF!</f>
        <v>#REF!</v>
      </c>
      <c r="AC52" s="5" t="e">
        <f>#REF!</f>
        <v>#REF!</v>
      </c>
      <c r="AD52" s="6" t="str">
        <f>IFERROR(VLOOKUP(ROWS($AD$2:AD52),$AA$2:$AC$151,2,FALSE),"")</f>
        <v/>
      </c>
      <c r="AE52" s="6" t="str">
        <f>IFERROR(VLOOKUP(ROWS($AD$2:AD52),$AA$2:$AC$151,3,FALSE),"")</f>
        <v/>
      </c>
      <c r="AG52" s="7">
        <f>IF(ISNUMBER(SEARCH(#REF!,AH52)),MAX($AG$1:AG51)+1,0)</f>
        <v>0</v>
      </c>
      <c r="AH52" s="7" t="e">
        <f>#REF!</f>
        <v>#REF!</v>
      </c>
      <c r="AI52" s="7" t="e">
        <f>#REF!</f>
        <v>#REF!</v>
      </c>
      <c r="AJ52" s="8" t="str">
        <f>IFERROR(VLOOKUP(ROWS(AJ$2:AJ52),$AG$2:$AI$151,2,FALSE),"")</f>
        <v/>
      </c>
      <c r="AK52" s="8" t="str">
        <f>IFERROR(VLOOKUP(ROWS($AJ$2:AJ52),$AG$2:$AI$151,3,FALSE),"")</f>
        <v/>
      </c>
      <c r="AM52" s="7">
        <f>IF(ISNUMBER(SEARCH(#REF!,AN52)),MAX($AM$1:AM51)+1,0)</f>
        <v>0</v>
      </c>
      <c r="AN52" s="7" t="e">
        <f>#REF!</f>
        <v>#REF!</v>
      </c>
      <c r="AO52" s="7" t="e">
        <f>#REF!</f>
        <v>#REF!</v>
      </c>
      <c r="AP52" s="8" t="str">
        <f>IFERROR(VLOOKUP(ROWS($AP$2:AP52),$AM$2:$AO$151,2,FALSE),"")</f>
        <v/>
      </c>
      <c r="AQ52" s="8" t="str">
        <f>IFERROR(VLOOKUP(ROWS($AP$2:AP52),$AM$2:$AO$151,3,FALSE),"")</f>
        <v/>
      </c>
      <c r="AS52" s="9">
        <f>IF(ISNUMBER(SEARCH(#REF!,AT52)),MAX($AS$1:AS51)+1,0)</f>
        <v>0</v>
      </c>
      <c r="AT52" s="9" t="e">
        <f>#REF!</f>
        <v>#REF!</v>
      </c>
      <c r="AU52" s="9" t="e">
        <f>#REF!</f>
        <v>#REF!</v>
      </c>
      <c r="AV52" s="10" t="str">
        <f>IFERROR(VLOOKUP(ROWS(AV$2:AV52),$AS$2:$AU$151,2,FALSE),"")</f>
        <v/>
      </c>
      <c r="AW52" s="10" t="str">
        <f>IFERROR(VLOOKUP(ROWS($AV$2:AV52),$AS$2:$AU$151,3,FALSE),"")</f>
        <v/>
      </c>
      <c r="AY52" s="9">
        <f>IF(ISNUMBER(SEARCH(#REF!,AZ52)),MAX($AY$1:AY51)+1,0)</f>
        <v>0</v>
      </c>
      <c r="AZ52" s="9" t="e">
        <f>#REF!</f>
        <v>#REF!</v>
      </c>
      <c r="BA52" s="9" t="e">
        <f>#REF!</f>
        <v>#REF!</v>
      </c>
      <c r="BB52" s="10" t="str">
        <f>IFERROR(VLOOKUP(ROWS($BB$2:BB52),$AY$2:$BA$151,2,FALSE),"")</f>
        <v/>
      </c>
      <c r="BC52" s="10" t="str">
        <f>IFERROR(VLOOKUP(ROWS($BB$2:BB52),$AY$2:$BA$151,3,FALSE),"")</f>
        <v/>
      </c>
    </row>
    <row r="53" spans="3:55" x14ac:dyDescent="0.25">
      <c r="C53" s="3">
        <f>IF(ISNUMBER(SEARCH(#REF!,D53)),MAX($C$1:C52)+1,0)</f>
        <v>0</v>
      </c>
      <c r="D53" s="3" t="e">
        <f>#REF!</f>
        <v>#REF!</v>
      </c>
      <c r="E53" s="3" t="e">
        <f>#REF!</f>
        <v>#REF!</v>
      </c>
      <c r="F53" s="4" t="str">
        <f>IFERROR(VLOOKUP(ROWS($F$2:F53),$C$2:$E$151,2,FALSE),"")</f>
        <v/>
      </c>
      <c r="G53" s="4" t="str">
        <f>IFERROR(VLOOKUP(ROWS($F$2:F53),$C$2:$E$151,3,FALSE),"")</f>
        <v/>
      </c>
      <c r="I53" s="3">
        <f>IF(ISNUMBER(SEARCH(#REF!,J53)),MAX($I$1:I52)+1,0)</f>
        <v>0</v>
      </c>
      <c r="J53" s="3" t="e">
        <f>#REF!</f>
        <v>#REF!</v>
      </c>
      <c r="K53" s="3" t="e">
        <f>#REF!</f>
        <v>#REF!</v>
      </c>
      <c r="L53" s="4" t="str">
        <f>IFERROR(VLOOKUP(ROWS($L$2:L53),$I$2:$K$151,2,FALSE),"")</f>
        <v/>
      </c>
      <c r="M53" s="4" t="str">
        <f>IFERROR(VLOOKUP(ROWS($L$2:L53),$I$2:$K$151,3,FALSE),"")</f>
        <v/>
      </c>
      <c r="O53" s="3">
        <f>IF(ISNUMBER(SEARCH(#REF!,P53)),MAX($O$1:O52)+1,0)</f>
        <v>0</v>
      </c>
      <c r="P53" s="3" t="e">
        <f>#REF!</f>
        <v>#REF!</v>
      </c>
      <c r="Q53" s="3" t="e">
        <f>#REF!</f>
        <v>#REF!</v>
      </c>
      <c r="R53" s="4" t="str">
        <f>IFERROR(VLOOKUP(ROWS($R$2:R53),$O$2:$Q$151,2,FALSE),"")</f>
        <v/>
      </c>
      <c r="S53" s="4" t="str">
        <f>IFERROR(VLOOKUP(ROWS($R$2:R53),$O$2:$Q$151,3,FALSE),"")</f>
        <v/>
      </c>
      <c r="U53" s="5">
        <f>IF(ISNUMBER(SEARCH(#REF!,V53)),MAX($U$1:U52)+1,0)</f>
        <v>0</v>
      </c>
      <c r="V53" s="5" t="e">
        <f>#REF!</f>
        <v>#REF!</v>
      </c>
      <c r="W53" s="5" t="e">
        <f>#REF!</f>
        <v>#REF!</v>
      </c>
      <c r="X53" s="6" t="str">
        <f>IFERROR(VLOOKUP(ROWS($X$2:X53),$U$2:$W$151,2,FALSE),"")</f>
        <v/>
      </c>
      <c r="Y53" s="6" t="str">
        <f>IFERROR(VLOOKUP(ROWS($X$2:X53),$U$2:$W$151,3,FALSE),"")</f>
        <v/>
      </c>
      <c r="AA53" s="5">
        <f>IF(ISNUMBER(SEARCH(#REF!,AB53)),MAX($AA$1:AA52)+1,0)</f>
        <v>0</v>
      </c>
      <c r="AB53" s="5" t="e">
        <f>#REF!</f>
        <v>#REF!</v>
      </c>
      <c r="AC53" s="5" t="e">
        <f>#REF!</f>
        <v>#REF!</v>
      </c>
      <c r="AD53" s="6" t="str">
        <f>IFERROR(VLOOKUP(ROWS($AD$2:AD53),$AA$2:$AC$151,2,FALSE),"")</f>
        <v/>
      </c>
      <c r="AE53" s="6" t="str">
        <f>IFERROR(VLOOKUP(ROWS($AD$2:AD53),$AA$2:$AC$151,3,FALSE),"")</f>
        <v/>
      </c>
      <c r="AG53" s="7">
        <f>IF(ISNUMBER(SEARCH(#REF!,AH53)),MAX($AG$1:AG52)+1,0)</f>
        <v>0</v>
      </c>
      <c r="AH53" s="7" t="e">
        <f>#REF!</f>
        <v>#REF!</v>
      </c>
      <c r="AI53" s="7" t="e">
        <f>#REF!</f>
        <v>#REF!</v>
      </c>
      <c r="AJ53" s="8" t="str">
        <f>IFERROR(VLOOKUP(ROWS(AJ$2:AJ53),$AG$2:$AI$151,2,FALSE),"")</f>
        <v/>
      </c>
      <c r="AK53" s="8" t="str">
        <f>IFERROR(VLOOKUP(ROWS($AJ$2:AJ53),$AG$2:$AI$151,3,FALSE),"")</f>
        <v/>
      </c>
      <c r="AM53" s="7">
        <f>IF(ISNUMBER(SEARCH(#REF!,AN53)),MAX($AM$1:AM52)+1,0)</f>
        <v>0</v>
      </c>
      <c r="AN53" s="7" t="e">
        <f>#REF!</f>
        <v>#REF!</v>
      </c>
      <c r="AO53" s="7" t="e">
        <f>#REF!</f>
        <v>#REF!</v>
      </c>
      <c r="AP53" s="8" t="str">
        <f>IFERROR(VLOOKUP(ROWS($AP$2:AP53),$AM$2:$AO$151,2,FALSE),"")</f>
        <v/>
      </c>
      <c r="AQ53" s="8" t="str">
        <f>IFERROR(VLOOKUP(ROWS($AP$2:AP53),$AM$2:$AO$151,3,FALSE),"")</f>
        <v/>
      </c>
      <c r="AS53" s="9">
        <f>IF(ISNUMBER(SEARCH(#REF!,AT53)),MAX($AS$1:AS52)+1,0)</f>
        <v>0</v>
      </c>
      <c r="AT53" s="9" t="e">
        <f>#REF!</f>
        <v>#REF!</v>
      </c>
      <c r="AU53" s="9" t="e">
        <f>#REF!</f>
        <v>#REF!</v>
      </c>
      <c r="AV53" s="10" t="str">
        <f>IFERROR(VLOOKUP(ROWS(AV$2:AV53),$AS$2:$AU$151,2,FALSE),"")</f>
        <v/>
      </c>
      <c r="AW53" s="10" t="str">
        <f>IFERROR(VLOOKUP(ROWS($AV$2:AV53),$AS$2:$AU$151,3,FALSE),"")</f>
        <v/>
      </c>
      <c r="AY53" s="9">
        <f>IF(ISNUMBER(SEARCH(#REF!,AZ53)),MAX($AY$1:AY52)+1,0)</f>
        <v>0</v>
      </c>
      <c r="AZ53" s="9" t="e">
        <f>#REF!</f>
        <v>#REF!</v>
      </c>
      <c r="BA53" s="9" t="e">
        <f>#REF!</f>
        <v>#REF!</v>
      </c>
      <c r="BB53" s="10" t="str">
        <f>IFERROR(VLOOKUP(ROWS($BB$2:BB53),$AY$2:$BA$151,2,FALSE),"")</f>
        <v/>
      </c>
      <c r="BC53" s="10" t="str">
        <f>IFERROR(VLOOKUP(ROWS($BB$2:BB53),$AY$2:$BA$151,3,FALSE),"")</f>
        <v/>
      </c>
    </row>
    <row r="54" spans="3:55" x14ac:dyDescent="0.25">
      <c r="C54" s="3">
        <f>IF(ISNUMBER(SEARCH(#REF!,D54)),MAX($C$1:C53)+1,0)</f>
        <v>0</v>
      </c>
      <c r="D54" s="3" t="e">
        <f>#REF!</f>
        <v>#REF!</v>
      </c>
      <c r="E54" s="3" t="e">
        <f>#REF!</f>
        <v>#REF!</v>
      </c>
      <c r="F54" s="4" t="str">
        <f>IFERROR(VLOOKUP(ROWS($F$2:F54),$C$2:$E$151,2,FALSE),"")</f>
        <v/>
      </c>
      <c r="G54" s="4" t="str">
        <f>IFERROR(VLOOKUP(ROWS($F$2:F54),$C$2:$E$151,3,FALSE),"")</f>
        <v/>
      </c>
      <c r="I54" s="3">
        <f>IF(ISNUMBER(SEARCH(#REF!,J54)),MAX($I$1:I53)+1,0)</f>
        <v>0</v>
      </c>
      <c r="J54" s="3" t="e">
        <f>#REF!</f>
        <v>#REF!</v>
      </c>
      <c r="K54" s="3" t="e">
        <f>#REF!</f>
        <v>#REF!</v>
      </c>
      <c r="L54" s="4" t="str">
        <f>IFERROR(VLOOKUP(ROWS($L$2:L54),$I$2:$K$151,2,FALSE),"")</f>
        <v/>
      </c>
      <c r="M54" s="4" t="str">
        <f>IFERROR(VLOOKUP(ROWS($L$2:L54),$I$2:$K$151,3,FALSE),"")</f>
        <v/>
      </c>
      <c r="O54" s="3">
        <f>IF(ISNUMBER(SEARCH(#REF!,P54)),MAX($O$1:O53)+1,0)</f>
        <v>0</v>
      </c>
      <c r="P54" s="3" t="e">
        <f>#REF!</f>
        <v>#REF!</v>
      </c>
      <c r="Q54" s="3" t="e">
        <f>#REF!</f>
        <v>#REF!</v>
      </c>
      <c r="R54" s="4" t="str">
        <f>IFERROR(VLOOKUP(ROWS($R$2:R54),$O$2:$Q$151,2,FALSE),"")</f>
        <v/>
      </c>
      <c r="S54" s="4" t="str">
        <f>IFERROR(VLOOKUP(ROWS($R$2:R54),$O$2:$Q$151,3,FALSE),"")</f>
        <v/>
      </c>
      <c r="U54" s="5">
        <f>IF(ISNUMBER(SEARCH(#REF!,V54)),MAX($U$1:U53)+1,0)</f>
        <v>0</v>
      </c>
      <c r="V54" s="5" t="e">
        <f>#REF!</f>
        <v>#REF!</v>
      </c>
      <c r="W54" s="5" t="e">
        <f>#REF!</f>
        <v>#REF!</v>
      </c>
      <c r="X54" s="6" t="str">
        <f>IFERROR(VLOOKUP(ROWS($X$2:X54),$U$2:$W$151,2,FALSE),"")</f>
        <v/>
      </c>
      <c r="Y54" s="6" t="str">
        <f>IFERROR(VLOOKUP(ROWS($X$2:X54),$U$2:$W$151,3,FALSE),"")</f>
        <v/>
      </c>
      <c r="AA54" s="5">
        <f>IF(ISNUMBER(SEARCH(#REF!,AB54)),MAX($AA$1:AA53)+1,0)</f>
        <v>0</v>
      </c>
      <c r="AB54" s="5" t="e">
        <f>#REF!</f>
        <v>#REF!</v>
      </c>
      <c r="AC54" s="5" t="e">
        <f>#REF!</f>
        <v>#REF!</v>
      </c>
      <c r="AD54" s="6" t="str">
        <f>IFERROR(VLOOKUP(ROWS($AD$2:AD54),$AA$2:$AC$151,2,FALSE),"")</f>
        <v/>
      </c>
      <c r="AE54" s="6" t="str">
        <f>IFERROR(VLOOKUP(ROWS($AD$2:AD54),$AA$2:$AC$151,3,FALSE),"")</f>
        <v/>
      </c>
      <c r="AG54" s="7">
        <f>IF(ISNUMBER(SEARCH(#REF!,AH54)),MAX($AG$1:AG53)+1,0)</f>
        <v>0</v>
      </c>
      <c r="AH54" s="7" t="e">
        <f>#REF!</f>
        <v>#REF!</v>
      </c>
      <c r="AI54" s="7" t="e">
        <f>#REF!</f>
        <v>#REF!</v>
      </c>
      <c r="AJ54" s="8" t="str">
        <f>IFERROR(VLOOKUP(ROWS(AJ$2:AJ54),$AG$2:$AI$151,2,FALSE),"")</f>
        <v/>
      </c>
      <c r="AK54" s="8" t="str">
        <f>IFERROR(VLOOKUP(ROWS($AJ$2:AJ54),$AG$2:$AI$151,3,FALSE),"")</f>
        <v/>
      </c>
      <c r="AM54" s="7">
        <f>IF(ISNUMBER(SEARCH(#REF!,AN54)),MAX($AM$1:AM53)+1,0)</f>
        <v>0</v>
      </c>
      <c r="AN54" s="7" t="e">
        <f>#REF!</f>
        <v>#REF!</v>
      </c>
      <c r="AO54" s="7" t="e">
        <f>#REF!</f>
        <v>#REF!</v>
      </c>
      <c r="AP54" s="8" t="str">
        <f>IFERROR(VLOOKUP(ROWS($AP$2:AP54),$AM$2:$AO$151,2,FALSE),"")</f>
        <v/>
      </c>
      <c r="AQ54" s="8" t="str">
        <f>IFERROR(VLOOKUP(ROWS($AP$2:AP54),$AM$2:$AO$151,3,FALSE),"")</f>
        <v/>
      </c>
      <c r="AS54" s="9">
        <f>IF(ISNUMBER(SEARCH(#REF!,AT54)),MAX($AS$1:AS53)+1,0)</f>
        <v>0</v>
      </c>
      <c r="AT54" s="9" t="e">
        <f>#REF!</f>
        <v>#REF!</v>
      </c>
      <c r="AU54" s="9" t="e">
        <f>#REF!</f>
        <v>#REF!</v>
      </c>
      <c r="AV54" s="10" t="str">
        <f>IFERROR(VLOOKUP(ROWS(AV$2:AV54),$AS$2:$AU$151,2,FALSE),"")</f>
        <v/>
      </c>
      <c r="AW54" s="10" t="str">
        <f>IFERROR(VLOOKUP(ROWS($AV$2:AV54),$AS$2:$AU$151,3,FALSE),"")</f>
        <v/>
      </c>
      <c r="AY54" s="9">
        <f>IF(ISNUMBER(SEARCH(#REF!,AZ54)),MAX($AY$1:AY53)+1,0)</f>
        <v>0</v>
      </c>
      <c r="AZ54" s="9" t="e">
        <f>#REF!</f>
        <v>#REF!</v>
      </c>
      <c r="BA54" s="9" t="e">
        <f>#REF!</f>
        <v>#REF!</v>
      </c>
      <c r="BB54" s="10" t="str">
        <f>IFERROR(VLOOKUP(ROWS($BB$2:BB54),$AY$2:$BA$151,2,FALSE),"")</f>
        <v/>
      </c>
      <c r="BC54" s="10" t="str">
        <f>IFERROR(VLOOKUP(ROWS($BB$2:BB54),$AY$2:$BA$151,3,FALSE),"")</f>
        <v/>
      </c>
    </row>
    <row r="55" spans="3:55" x14ac:dyDescent="0.25">
      <c r="C55" s="3">
        <f>IF(ISNUMBER(SEARCH(#REF!,D55)),MAX($C$1:C54)+1,0)</f>
        <v>0</v>
      </c>
      <c r="D55" s="3" t="e">
        <f>#REF!</f>
        <v>#REF!</v>
      </c>
      <c r="E55" s="3" t="e">
        <f>#REF!</f>
        <v>#REF!</v>
      </c>
      <c r="F55" s="4" t="str">
        <f>IFERROR(VLOOKUP(ROWS($F$2:F55),$C$2:$E$151,2,FALSE),"")</f>
        <v/>
      </c>
      <c r="G55" s="4" t="str">
        <f>IFERROR(VLOOKUP(ROWS($F$2:F55),$C$2:$E$151,3,FALSE),"")</f>
        <v/>
      </c>
      <c r="I55" s="3">
        <f>IF(ISNUMBER(SEARCH(#REF!,J55)),MAX($I$1:I54)+1,0)</f>
        <v>0</v>
      </c>
      <c r="J55" s="3" t="e">
        <f>#REF!</f>
        <v>#REF!</v>
      </c>
      <c r="K55" s="3" t="e">
        <f>#REF!</f>
        <v>#REF!</v>
      </c>
      <c r="L55" s="4" t="str">
        <f>IFERROR(VLOOKUP(ROWS($L$2:L55),$I$2:$K$151,2,FALSE),"")</f>
        <v/>
      </c>
      <c r="M55" s="4" t="str">
        <f>IFERROR(VLOOKUP(ROWS($L$2:L55),$I$2:$K$151,3,FALSE),"")</f>
        <v/>
      </c>
      <c r="O55" s="3">
        <f>IF(ISNUMBER(SEARCH(#REF!,P55)),MAX($O$1:O54)+1,0)</f>
        <v>0</v>
      </c>
      <c r="P55" s="3" t="e">
        <f>#REF!</f>
        <v>#REF!</v>
      </c>
      <c r="Q55" s="3" t="e">
        <f>#REF!</f>
        <v>#REF!</v>
      </c>
      <c r="R55" s="4" t="str">
        <f>IFERROR(VLOOKUP(ROWS($R$2:R55),$O$2:$Q$151,2,FALSE),"")</f>
        <v/>
      </c>
      <c r="S55" s="4" t="str">
        <f>IFERROR(VLOOKUP(ROWS($R$2:R55),$O$2:$Q$151,3,FALSE),"")</f>
        <v/>
      </c>
      <c r="U55" s="5">
        <f>IF(ISNUMBER(SEARCH(#REF!,V55)),MAX($U$1:U54)+1,0)</f>
        <v>0</v>
      </c>
      <c r="V55" s="5" t="e">
        <f>#REF!</f>
        <v>#REF!</v>
      </c>
      <c r="W55" s="5" t="e">
        <f>#REF!</f>
        <v>#REF!</v>
      </c>
      <c r="X55" s="6" t="str">
        <f>IFERROR(VLOOKUP(ROWS($X$2:X55),$U$2:$W$151,2,FALSE),"")</f>
        <v/>
      </c>
      <c r="Y55" s="6" t="str">
        <f>IFERROR(VLOOKUP(ROWS($X$2:X55),$U$2:$W$151,3,FALSE),"")</f>
        <v/>
      </c>
      <c r="AA55" s="5">
        <f>IF(ISNUMBER(SEARCH(#REF!,AB55)),MAX($AA$1:AA54)+1,0)</f>
        <v>0</v>
      </c>
      <c r="AB55" s="5" t="e">
        <f>#REF!</f>
        <v>#REF!</v>
      </c>
      <c r="AC55" s="5" t="e">
        <f>#REF!</f>
        <v>#REF!</v>
      </c>
      <c r="AD55" s="6" t="str">
        <f>IFERROR(VLOOKUP(ROWS($AD$2:AD55),$AA$2:$AC$151,2,FALSE),"")</f>
        <v/>
      </c>
      <c r="AE55" s="6" t="str">
        <f>IFERROR(VLOOKUP(ROWS($AD$2:AD55),$AA$2:$AC$151,3,FALSE),"")</f>
        <v/>
      </c>
      <c r="AG55" s="7">
        <f>IF(ISNUMBER(SEARCH(#REF!,AH55)),MAX($AG$1:AG54)+1,0)</f>
        <v>0</v>
      </c>
      <c r="AH55" s="7" t="e">
        <f>#REF!</f>
        <v>#REF!</v>
      </c>
      <c r="AI55" s="7" t="e">
        <f>#REF!</f>
        <v>#REF!</v>
      </c>
      <c r="AJ55" s="8" t="str">
        <f>IFERROR(VLOOKUP(ROWS(AJ$2:AJ55),$AG$2:$AI$151,2,FALSE),"")</f>
        <v/>
      </c>
      <c r="AK55" s="8" t="str">
        <f>IFERROR(VLOOKUP(ROWS($AJ$2:AJ55),$AG$2:$AI$151,3,FALSE),"")</f>
        <v/>
      </c>
      <c r="AM55" s="7">
        <f>IF(ISNUMBER(SEARCH(#REF!,AN55)),MAX($AM$1:AM54)+1,0)</f>
        <v>0</v>
      </c>
      <c r="AN55" s="7" t="e">
        <f>#REF!</f>
        <v>#REF!</v>
      </c>
      <c r="AO55" s="7" t="e">
        <f>#REF!</f>
        <v>#REF!</v>
      </c>
      <c r="AP55" s="8" t="str">
        <f>IFERROR(VLOOKUP(ROWS($AP$2:AP55),$AM$2:$AO$151,2,FALSE),"")</f>
        <v/>
      </c>
      <c r="AQ55" s="8" t="str">
        <f>IFERROR(VLOOKUP(ROWS($AP$2:AP55),$AM$2:$AO$151,3,FALSE),"")</f>
        <v/>
      </c>
      <c r="AS55" s="9">
        <f>IF(ISNUMBER(SEARCH(#REF!,AT55)),MAX($AS$1:AS54)+1,0)</f>
        <v>0</v>
      </c>
      <c r="AT55" s="9" t="e">
        <f>#REF!</f>
        <v>#REF!</v>
      </c>
      <c r="AU55" s="9" t="e">
        <f>#REF!</f>
        <v>#REF!</v>
      </c>
      <c r="AV55" s="10" t="str">
        <f>IFERROR(VLOOKUP(ROWS(AV$2:AV55),$AS$2:$AU$151,2,FALSE),"")</f>
        <v/>
      </c>
      <c r="AW55" s="10" t="str">
        <f>IFERROR(VLOOKUP(ROWS($AV$2:AV55),$AS$2:$AU$151,3,FALSE),"")</f>
        <v/>
      </c>
      <c r="AY55" s="9">
        <f>IF(ISNUMBER(SEARCH(#REF!,AZ55)),MAX($AY$1:AY54)+1,0)</f>
        <v>0</v>
      </c>
      <c r="AZ55" s="9" t="e">
        <f>#REF!</f>
        <v>#REF!</v>
      </c>
      <c r="BA55" s="9" t="e">
        <f>#REF!</f>
        <v>#REF!</v>
      </c>
      <c r="BB55" s="10" t="str">
        <f>IFERROR(VLOOKUP(ROWS($BB$2:BB55),$AY$2:$BA$151,2,FALSE),"")</f>
        <v/>
      </c>
      <c r="BC55" s="10" t="str">
        <f>IFERROR(VLOOKUP(ROWS($BB$2:BB55),$AY$2:$BA$151,3,FALSE),"")</f>
        <v/>
      </c>
    </row>
    <row r="56" spans="3:55" x14ac:dyDescent="0.25">
      <c r="C56" s="3">
        <f>IF(ISNUMBER(SEARCH(#REF!,D56)),MAX($C$1:C55)+1,0)</f>
        <v>0</v>
      </c>
      <c r="D56" s="3" t="e">
        <f>#REF!</f>
        <v>#REF!</v>
      </c>
      <c r="E56" s="3" t="e">
        <f>#REF!</f>
        <v>#REF!</v>
      </c>
      <c r="F56" s="4" t="str">
        <f>IFERROR(VLOOKUP(ROWS($F$2:F56),$C$2:$E$151,2,FALSE),"")</f>
        <v/>
      </c>
      <c r="G56" s="4" t="str">
        <f>IFERROR(VLOOKUP(ROWS($F$2:F56),$C$2:$E$151,3,FALSE),"")</f>
        <v/>
      </c>
      <c r="I56" s="3">
        <f>IF(ISNUMBER(SEARCH(#REF!,J56)),MAX($I$1:I55)+1,0)</f>
        <v>0</v>
      </c>
      <c r="J56" s="3" t="e">
        <f>#REF!</f>
        <v>#REF!</v>
      </c>
      <c r="K56" s="3" t="e">
        <f>#REF!</f>
        <v>#REF!</v>
      </c>
      <c r="L56" s="4" t="str">
        <f>IFERROR(VLOOKUP(ROWS($L$2:L56),$I$2:$K$151,2,FALSE),"")</f>
        <v/>
      </c>
      <c r="M56" s="4" t="str">
        <f>IFERROR(VLOOKUP(ROWS($L$2:L56),$I$2:$K$151,3,FALSE),"")</f>
        <v/>
      </c>
      <c r="O56" s="3">
        <f>IF(ISNUMBER(SEARCH(#REF!,P56)),MAX($O$1:O55)+1,0)</f>
        <v>0</v>
      </c>
      <c r="P56" s="3" t="e">
        <f>#REF!</f>
        <v>#REF!</v>
      </c>
      <c r="Q56" s="3" t="e">
        <f>#REF!</f>
        <v>#REF!</v>
      </c>
      <c r="R56" s="4" t="str">
        <f>IFERROR(VLOOKUP(ROWS($R$2:R56),$O$2:$Q$151,2,FALSE),"")</f>
        <v/>
      </c>
      <c r="S56" s="4" t="str">
        <f>IFERROR(VLOOKUP(ROWS($R$2:R56),$O$2:$Q$151,3,FALSE),"")</f>
        <v/>
      </c>
      <c r="U56" s="5">
        <f>IF(ISNUMBER(SEARCH(#REF!,V56)),MAX($U$1:U55)+1,0)</f>
        <v>0</v>
      </c>
      <c r="V56" s="5" t="e">
        <f>#REF!</f>
        <v>#REF!</v>
      </c>
      <c r="W56" s="5" t="e">
        <f>#REF!</f>
        <v>#REF!</v>
      </c>
      <c r="X56" s="6" t="str">
        <f>IFERROR(VLOOKUP(ROWS($X$2:X56),$U$2:$W$151,2,FALSE),"")</f>
        <v/>
      </c>
      <c r="Y56" s="6" t="str">
        <f>IFERROR(VLOOKUP(ROWS($X$2:X56),$U$2:$W$151,3,FALSE),"")</f>
        <v/>
      </c>
      <c r="AA56" s="5">
        <f>IF(ISNUMBER(SEARCH(#REF!,AB56)),MAX($AA$1:AA55)+1,0)</f>
        <v>0</v>
      </c>
      <c r="AB56" s="5" t="e">
        <f>#REF!</f>
        <v>#REF!</v>
      </c>
      <c r="AC56" s="5" t="e">
        <f>#REF!</f>
        <v>#REF!</v>
      </c>
      <c r="AD56" s="6" t="str">
        <f>IFERROR(VLOOKUP(ROWS($AD$2:AD56),$AA$2:$AC$151,2,FALSE),"")</f>
        <v/>
      </c>
      <c r="AE56" s="6" t="str">
        <f>IFERROR(VLOOKUP(ROWS($AD$2:AD56),$AA$2:$AC$151,3,FALSE),"")</f>
        <v/>
      </c>
      <c r="AG56" s="7">
        <f>IF(ISNUMBER(SEARCH(#REF!,AH56)),MAX($AG$1:AG55)+1,0)</f>
        <v>0</v>
      </c>
      <c r="AH56" s="7" t="e">
        <f>#REF!</f>
        <v>#REF!</v>
      </c>
      <c r="AI56" s="7" t="e">
        <f>#REF!</f>
        <v>#REF!</v>
      </c>
      <c r="AJ56" s="8" t="str">
        <f>IFERROR(VLOOKUP(ROWS(AJ$2:AJ56),$AG$2:$AI$151,2,FALSE),"")</f>
        <v/>
      </c>
      <c r="AK56" s="8" t="str">
        <f>IFERROR(VLOOKUP(ROWS($AJ$2:AJ56),$AG$2:$AI$151,3,FALSE),"")</f>
        <v/>
      </c>
      <c r="AM56" s="7">
        <f>IF(ISNUMBER(SEARCH(#REF!,AN56)),MAX($AM$1:AM55)+1,0)</f>
        <v>0</v>
      </c>
      <c r="AN56" s="7" t="e">
        <f>#REF!</f>
        <v>#REF!</v>
      </c>
      <c r="AO56" s="7" t="e">
        <f>#REF!</f>
        <v>#REF!</v>
      </c>
      <c r="AP56" s="8" t="str">
        <f>IFERROR(VLOOKUP(ROWS($AP$2:AP56),$AM$2:$AO$151,2,FALSE),"")</f>
        <v/>
      </c>
      <c r="AQ56" s="8" t="str">
        <f>IFERROR(VLOOKUP(ROWS($AP$2:AP56),$AM$2:$AO$151,3,FALSE),"")</f>
        <v/>
      </c>
      <c r="AS56" s="9">
        <f>IF(ISNUMBER(SEARCH(#REF!,AT56)),MAX($AS$1:AS55)+1,0)</f>
        <v>0</v>
      </c>
      <c r="AT56" s="9" t="e">
        <f>#REF!</f>
        <v>#REF!</v>
      </c>
      <c r="AU56" s="9" t="e">
        <f>#REF!</f>
        <v>#REF!</v>
      </c>
      <c r="AV56" s="10" t="str">
        <f>IFERROR(VLOOKUP(ROWS(AV$2:AV56),$AS$2:$AU$151,2,FALSE),"")</f>
        <v/>
      </c>
      <c r="AW56" s="10" t="str">
        <f>IFERROR(VLOOKUP(ROWS($AV$2:AV56),$AS$2:$AU$151,3,FALSE),"")</f>
        <v/>
      </c>
      <c r="AY56" s="9">
        <f>IF(ISNUMBER(SEARCH(#REF!,AZ56)),MAX($AY$1:AY55)+1,0)</f>
        <v>0</v>
      </c>
      <c r="AZ56" s="9" t="e">
        <f>#REF!</f>
        <v>#REF!</v>
      </c>
      <c r="BA56" s="9" t="e">
        <f>#REF!</f>
        <v>#REF!</v>
      </c>
      <c r="BB56" s="10" t="str">
        <f>IFERROR(VLOOKUP(ROWS($BB$2:BB56),$AY$2:$BA$151,2,FALSE),"")</f>
        <v/>
      </c>
      <c r="BC56" s="10" t="str">
        <f>IFERROR(VLOOKUP(ROWS($BB$2:BB56),$AY$2:$BA$151,3,FALSE),"")</f>
        <v/>
      </c>
    </row>
    <row r="57" spans="3:55" x14ac:dyDescent="0.25">
      <c r="C57" s="3">
        <f>IF(ISNUMBER(SEARCH(#REF!,D57)),MAX($C$1:C56)+1,0)</f>
        <v>0</v>
      </c>
      <c r="D57" s="3" t="e">
        <f>#REF!</f>
        <v>#REF!</v>
      </c>
      <c r="E57" s="3" t="e">
        <f>#REF!</f>
        <v>#REF!</v>
      </c>
      <c r="F57" s="4" t="str">
        <f>IFERROR(VLOOKUP(ROWS($F$2:F57),$C$2:$E$151,2,FALSE),"")</f>
        <v/>
      </c>
      <c r="G57" s="4" t="str">
        <f>IFERROR(VLOOKUP(ROWS($F$2:F57),$C$2:$E$151,3,FALSE),"")</f>
        <v/>
      </c>
      <c r="I57" s="3">
        <f>IF(ISNUMBER(SEARCH(#REF!,J57)),MAX($I$1:I56)+1,0)</f>
        <v>0</v>
      </c>
      <c r="J57" s="3" t="e">
        <f>#REF!</f>
        <v>#REF!</v>
      </c>
      <c r="K57" s="3" t="e">
        <f>#REF!</f>
        <v>#REF!</v>
      </c>
      <c r="L57" s="4" t="str">
        <f>IFERROR(VLOOKUP(ROWS($L$2:L57),$I$2:$K$151,2,FALSE),"")</f>
        <v/>
      </c>
      <c r="M57" s="4" t="str">
        <f>IFERROR(VLOOKUP(ROWS($L$2:L57),$I$2:$K$151,3,FALSE),"")</f>
        <v/>
      </c>
      <c r="O57" s="3">
        <f>IF(ISNUMBER(SEARCH(#REF!,P57)),MAX($O$1:O56)+1,0)</f>
        <v>0</v>
      </c>
      <c r="P57" s="3" t="e">
        <f>#REF!</f>
        <v>#REF!</v>
      </c>
      <c r="Q57" s="3" t="e">
        <f>#REF!</f>
        <v>#REF!</v>
      </c>
      <c r="R57" s="4" t="str">
        <f>IFERROR(VLOOKUP(ROWS($R$2:R57),$O$2:$Q$151,2,FALSE),"")</f>
        <v/>
      </c>
      <c r="S57" s="4" t="str">
        <f>IFERROR(VLOOKUP(ROWS($R$2:R57),$O$2:$Q$151,3,FALSE),"")</f>
        <v/>
      </c>
      <c r="U57" s="5">
        <f>IF(ISNUMBER(SEARCH(#REF!,V57)),MAX($U$1:U56)+1,0)</f>
        <v>0</v>
      </c>
      <c r="V57" s="5" t="e">
        <f>#REF!</f>
        <v>#REF!</v>
      </c>
      <c r="W57" s="5" t="e">
        <f>#REF!</f>
        <v>#REF!</v>
      </c>
      <c r="X57" s="6" t="str">
        <f>IFERROR(VLOOKUP(ROWS($X$2:X57),$U$2:$W$151,2,FALSE),"")</f>
        <v/>
      </c>
      <c r="Y57" s="6" t="str">
        <f>IFERROR(VLOOKUP(ROWS($X$2:X57),$U$2:$W$151,3,FALSE),"")</f>
        <v/>
      </c>
      <c r="AA57" s="5">
        <f>IF(ISNUMBER(SEARCH(#REF!,AB57)),MAX($AA$1:AA56)+1,0)</f>
        <v>0</v>
      </c>
      <c r="AB57" s="5" t="e">
        <f>#REF!</f>
        <v>#REF!</v>
      </c>
      <c r="AC57" s="5" t="e">
        <f>#REF!</f>
        <v>#REF!</v>
      </c>
      <c r="AD57" s="6" t="str">
        <f>IFERROR(VLOOKUP(ROWS($AD$2:AD57),$AA$2:$AC$151,2,FALSE),"")</f>
        <v/>
      </c>
      <c r="AE57" s="6" t="str">
        <f>IFERROR(VLOOKUP(ROWS($AD$2:AD57),$AA$2:$AC$151,3,FALSE),"")</f>
        <v/>
      </c>
      <c r="AG57" s="7">
        <f>IF(ISNUMBER(SEARCH(#REF!,AH57)),MAX($AG$1:AG56)+1,0)</f>
        <v>0</v>
      </c>
      <c r="AH57" s="7" t="e">
        <f>#REF!</f>
        <v>#REF!</v>
      </c>
      <c r="AI57" s="7" t="e">
        <f>#REF!</f>
        <v>#REF!</v>
      </c>
      <c r="AJ57" s="8" t="str">
        <f>IFERROR(VLOOKUP(ROWS(AJ$2:AJ57),$AG$2:$AI$151,2,FALSE),"")</f>
        <v/>
      </c>
      <c r="AK57" s="8" t="str">
        <f>IFERROR(VLOOKUP(ROWS($AJ$2:AJ57),$AG$2:$AI$151,3,FALSE),"")</f>
        <v/>
      </c>
      <c r="AM57" s="7">
        <f>IF(ISNUMBER(SEARCH(#REF!,AN57)),MAX($AM$1:AM56)+1,0)</f>
        <v>0</v>
      </c>
      <c r="AN57" s="7" t="e">
        <f>#REF!</f>
        <v>#REF!</v>
      </c>
      <c r="AO57" s="7" t="e">
        <f>#REF!</f>
        <v>#REF!</v>
      </c>
      <c r="AP57" s="8" t="str">
        <f>IFERROR(VLOOKUP(ROWS($AP$2:AP57),$AM$2:$AO$151,2,FALSE),"")</f>
        <v/>
      </c>
      <c r="AQ57" s="8" t="str">
        <f>IFERROR(VLOOKUP(ROWS($AP$2:AP57),$AM$2:$AO$151,3,FALSE),"")</f>
        <v/>
      </c>
      <c r="AS57" s="9">
        <f>IF(ISNUMBER(SEARCH(#REF!,AT57)),MAX($AS$1:AS56)+1,0)</f>
        <v>0</v>
      </c>
      <c r="AT57" s="9" t="e">
        <f>#REF!</f>
        <v>#REF!</v>
      </c>
      <c r="AU57" s="9" t="e">
        <f>#REF!</f>
        <v>#REF!</v>
      </c>
      <c r="AV57" s="10" t="str">
        <f>IFERROR(VLOOKUP(ROWS(AV$2:AV57),$AS$2:$AU$151,2,FALSE),"")</f>
        <v/>
      </c>
      <c r="AW57" s="10" t="str">
        <f>IFERROR(VLOOKUP(ROWS($AV$2:AV57),$AS$2:$AU$151,3,FALSE),"")</f>
        <v/>
      </c>
      <c r="AY57" s="9">
        <f>IF(ISNUMBER(SEARCH(#REF!,AZ57)),MAX($AY$1:AY56)+1,0)</f>
        <v>0</v>
      </c>
      <c r="AZ57" s="9" t="e">
        <f>#REF!</f>
        <v>#REF!</v>
      </c>
      <c r="BA57" s="9" t="e">
        <f>#REF!</f>
        <v>#REF!</v>
      </c>
      <c r="BB57" s="10" t="str">
        <f>IFERROR(VLOOKUP(ROWS($BB$2:BB57),$AY$2:$BA$151,2,FALSE),"")</f>
        <v/>
      </c>
      <c r="BC57" s="10" t="str">
        <f>IFERROR(VLOOKUP(ROWS($BB$2:BB57),$AY$2:$BA$151,3,FALSE),"")</f>
        <v/>
      </c>
    </row>
    <row r="58" spans="3:55" x14ac:dyDescent="0.25">
      <c r="C58" s="3">
        <f>IF(ISNUMBER(SEARCH(#REF!,D58)),MAX($C$1:C57)+1,0)</f>
        <v>0</v>
      </c>
      <c r="D58" s="3" t="e">
        <f>#REF!</f>
        <v>#REF!</v>
      </c>
      <c r="E58" s="3" t="e">
        <f>#REF!</f>
        <v>#REF!</v>
      </c>
      <c r="F58" s="4" t="str">
        <f>IFERROR(VLOOKUP(ROWS($F$2:F58),$C$2:$E$151,2,FALSE),"")</f>
        <v/>
      </c>
      <c r="G58" s="4" t="str">
        <f>IFERROR(VLOOKUP(ROWS($F$2:F58),$C$2:$E$151,3,FALSE),"")</f>
        <v/>
      </c>
      <c r="I58" s="3">
        <f>IF(ISNUMBER(SEARCH(#REF!,J58)),MAX($I$1:I57)+1,0)</f>
        <v>0</v>
      </c>
      <c r="J58" s="3" t="e">
        <f>#REF!</f>
        <v>#REF!</v>
      </c>
      <c r="K58" s="3" t="e">
        <f>#REF!</f>
        <v>#REF!</v>
      </c>
      <c r="L58" s="4" t="str">
        <f>IFERROR(VLOOKUP(ROWS($L$2:L58),$I$2:$K$151,2,FALSE),"")</f>
        <v/>
      </c>
      <c r="M58" s="4" t="str">
        <f>IFERROR(VLOOKUP(ROWS($L$2:L58),$I$2:$K$151,3,FALSE),"")</f>
        <v/>
      </c>
      <c r="O58" s="3">
        <f>IF(ISNUMBER(SEARCH(#REF!,P58)),MAX($O$1:O57)+1,0)</f>
        <v>0</v>
      </c>
      <c r="P58" s="3" t="e">
        <f>#REF!</f>
        <v>#REF!</v>
      </c>
      <c r="Q58" s="3" t="e">
        <f>#REF!</f>
        <v>#REF!</v>
      </c>
      <c r="R58" s="4" t="str">
        <f>IFERROR(VLOOKUP(ROWS($R$2:R58),$O$2:$Q$151,2,FALSE),"")</f>
        <v/>
      </c>
      <c r="S58" s="4" t="str">
        <f>IFERROR(VLOOKUP(ROWS($R$2:R58),$O$2:$Q$151,3,FALSE),"")</f>
        <v/>
      </c>
      <c r="U58" s="5">
        <f>IF(ISNUMBER(SEARCH(#REF!,V58)),MAX($U$1:U57)+1,0)</f>
        <v>0</v>
      </c>
      <c r="V58" s="5" t="e">
        <f>#REF!</f>
        <v>#REF!</v>
      </c>
      <c r="W58" s="5" t="e">
        <f>#REF!</f>
        <v>#REF!</v>
      </c>
      <c r="X58" s="6" t="str">
        <f>IFERROR(VLOOKUP(ROWS($X$2:X58),$U$2:$W$151,2,FALSE),"")</f>
        <v/>
      </c>
      <c r="Y58" s="6" t="str">
        <f>IFERROR(VLOOKUP(ROWS($X$2:X58),$U$2:$W$151,3,FALSE),"")</f>
        <v/>
      </c>
      <c r="AA58" s="5">
        <f>IF(ISNUMBER(SEARCH(#REF!,AB58)),MAX($AA$1:AA57)+1,0)</f>
        <v>0</v>
      </c>
      <c r="AB58" s="5" t="e">
        <f>#REF!</f>
        <v>#REF!</v>
      </c>
      <c r="AC58" s="5" t="e">
        <f>#REF!</f>
        <v>#REF!</v>
      </c>
      <c r="AD58" s="6" t="str">
        <f>IFERROR(VLOOKUP(ROWS($AD$2:AD58),$AA$2:$AC$151,2,FALSE),"")</f>
        <v/>
      </c>
      <c r="AE58" s="6" t="str">
        <f>IFERROR(VLOOKUP(ROWS($AD$2:AD58),$AA$2:$AC$151,3,FALSE),"")</f>
        <v/>
      </c>
      <c r="AG58" s="7">
        <f>IF(ISNUMBER(SEARCH(#REF!,AH58)),MAX($AG$1:AG57)+1,0)</f>
        <v>0</v>
      </c>
      <c r="AH58" s="7" t="e">
        <f>#REF!</f>
        <v>#REF!</v>
      </c>
      <c r="AI58" s="7" t="e">
        <f>#REF!</f>
        <v>#REF!</v>
      </c>
      <c r="AJ58" s="8" t="str">
        <f>IFERROR(VLOOKUP(ROWS(AJ$2:AJ58),$AG$2:$AI$151,2,FALSE),"")</f>
        <v/>
      </c>
      <c r="AK58" s="8" t="str">
        <f>IFERROR(VLOOKUP(ROWS($AJ$2:AJ58),$AG$2:$AI$151,3,FALSE),"")</f>
        <v/>
      </c>
      <c r="AM58" s="7">
        <f>IF(ISNUMBER(SEARCH(#REF!,AN58)),MAX($AM$1:AM57)+1,0)</f>
        <v>0</v>
      </c>
      <c r="AN58" s="7" t="e">
        <f>#REF!</f>
        <v>#REF!</v>
      </c>
      <c r="AO58" s="7" t="e">
        <f>#REF!</f>
        <v>#REF!</v>
      </c>
      <c r="AP58" s="8" t="str">
        <f>IFERROR(VLOOKUP(ROWS($AP$2:AP58),$AM$2:$AO$151,2,FALSE),"")</f>
        <v/>
      </c>
      <c r="AQ58" s="8" t="str">
        <f>IFERROR(VLOOKUP(ROWS($AP$2:AP58),$AM$2:$AO$151,3,FALSE),"")</f>
        <v/>
      </c>
      <c r="AS58" s="9">
        <f>IF(ISNUMBER(SEARCH(#REF!,AT58)),MAX($AS$1:AS57)+1,0)</f>
        <v>0</v>
      </c>
      <c r="AT58" s="9" t="e">
        <f>#REF!</f>
        <v>#REF!</v>
      </c>
      <c r="AU58" s="9" t="e">
        <f>#REF!</f>
        <v>#REF!</v>
      </c>
      <c r="AV58" s="10" t="str">
        <f>IFERROR(VLOOKUP(ROWS(AV$2:AV58),$AS$2:$AU$151,2,FALSE),"")</f>
        <v/>
      </c>
      <c r="AW58" s="10" t="str">
        <f>IFERROR(VLOOKUP(ROWS($AV$2:AV58),$AS$2:$AU$151,3,FALSE),"")</f>
        <v/>
      </c>
      <c r="AY58" s="9">
        <f>IF(ISNUMBER(SEARCH(#REF!,AZ58)),MAX($AY$1:AY57)+1,0)</f>
        <v>0</v>
      </c>
      <c r="AZ58" s="9" t="e">
        <f>#REF!</f>
        <v>#REF!</v>
      </c>
      <c r="BA58" s="9" t="e">
        <f>#REF!</f>
        <v>#REF!</v>
      </c>
      <c r="BB58" s="10" t="str">
        <f>IFERROR(VLOOKUP(ROWS($BB$2:BB58),$AY$2:$BA$151,2,FALSE),"")</f>
        <v/>
      </c>
      <c r="BC58" s="10" t="str">
        <f>IFERROR(VLOOKUP(ROWS($BB$2:BB58),$AY$2:$BA$151,3,FALSE),"")</f>
        <v/>
      </c>
    </row>
    <row r="59" spans="3:55" x14ac:dyDescent="0.25">
      <c r="C59" s="3">
        <f>IF(ISNUMBER(SEARCH(#REF!,D59)),MAX($C$1:C58)+1,0)</f>
        <v>0</v>
      </c>
      <c r="D59" s="3" t="e">
        <f>#REF!</f>
        <v>#REF!</v>
      </c>
      <c r="E59" s="3" t="e">
        <f>#REF!</f>
        <v>#REF!</v>
      </c>
      <c r="F59" s="4" t="str">
        <f>IFERROR(VLOOKUP(ROWS($F$2:F59),$C$2:$E$151,2,FALSE),"")</f>
        <v/>
      </c>
      <c r="G59" s="4" t="str">
        <f>IFERROR(VLOOKUP(ROWS($F$2:F59),$C$2:$E$151,3,FALSE),"")</f>
        <v/>
      </c>
      <c r="I59" s="3">
        <f>IF(ISNUMBER(SEARCH(#REF!,J59)),MAX($I$1:I58)+1,0)</f>
        <v>0</v>
      </c>
      <c r="J59" s="3" t="e">
        <f>#REF!</f>
        <v>#REF!</v>
      </c>
      <c r="K59" s="3" t="e">
        <f>#REF!</f>
        <v>#REF!</v>
      </c>
      <c r="L59" s="4" t="str">
        <f>IFERROR(VLOOKUP(ROWS($L$2:L59),$I$2:$K$151,2,FALSE),"")</f>
        <v/>
      </c>
      <c r="M59" s="4" t="str">
        <f>IFERROR(VLOOKUP(ROWS($L$2:L59),$I$2:$K$151,3,FALSE),"")</f>
        <v/>
      </c>
      <c r="O59" s="3">
        <f>IF(ISNUMBER(SEARCH(#REF!,P59)),MAX($O$1:O58)+1,0)</f>
        <v>0</v>
      </c>
      <c r="P59" s="3" t="e">
        <f>#REF!</f>
        <v>#REF!</v>
      </c>
      <c r="Q59" s="3" t="e">
        <f>#REF!</f>
        <v>#REF!</v>
      </c>
      <c r="R59" s="4" t="str">
        <f>IFERROR(VLOOKUP(ROWS($R$2:R59),$O$2:$Q$151,2,FALSE),"")</f>
        <v/>
      </c>
      <c r="S59" s="4" t="str">
        <f>IFERROR(VLOOKUP(ROWS($R$2:R59),$O$2:$Q$151,3,FALSE),"")</f>
        <v/>
      </c>
      <c r="U59" s="5">
        <f>IF(ISNUMBER(SEARCH(#REF!,V59)),MAX($U$1:U58)+1,0)</f>
        <v>0</v>
      </c>
      <c r="V59" s="5" t="e">
        <f>#REF!</f>
        <v>#REF!</v>
      </c>
      <c r="W59" s="5" t="e">
        <f>#REF!</f>
        <v>#REF!</v>
      </c>
      <c r="X59" s="6" t="str">
        <f>IFERROR(VLOOKUP(ROWS($X$2:X59),$U$2:$W$151,2,FALSE),"")</f>
        <v/>
      </c>
      <c r="Y59" s="6" t="str">
        <f>IFERROR(VLOOKUP(ROWS($X$2:X59),$U$2:$W$151,3,FALSE),"")</f>
        <v/>
      </c>
      <c r="AA59" s="5">
        <f>IF(ISNUMBER(SEARCH(#REF!,AB59)),MAX($AA$1:AA58)+1,0)</f>
        <v>0</v>
      </c>
      <c r="AB59" s="5" t="e">
        <f>#REF!</f>
        <v>#REF!</v>
      </c>
      <c r="AC59" s="5" t="e">
        <f>#REF!</f>
        <v>#REF!</v>
      </c>
      <c r="AD59" s="6" t="str">
        <f>IFERROR(VLOOKUP(ROWS($AD$2:AD59),$AA$2:$AC$151,2,FALSE),"")</f>
        <v/>
      </c>
      <c r="AE59" s="6" t="str">
        <f>IFERROR(VLOOKUP(ROWS($AD$2:AD59),$AA$2:$AC$151,3,FALSE),"")</f>
        <v/>
      </c>
      <c r="AG59" s="7">
        <f>IF(ISNUMBER(SEARCH(#REF!,AH59)),MAX($AG$1:AG58)+1,0)</f>
        <v>0</v>
      </c>
      <c r="AH59" s="7" t="e">
        <f>#REF!</f>
        <v>#REF!</v>
      </c>
      <c r="AI59" s="7" t="e">
        <f>#REF!</f>
        <v>#REF!</v>
      </c>
      <c r="AJ59" s="8" t="str">
        <f>IFERROR(VLOOKUP(ROWS(AJ$2:AJ59),$AG$2:$AI$151,2,FALSE),"")</f>
        <v/>
      </c>
      <c r="AK59" s="8" t="str">
        <f>IFERROR(VLOOKUP(ROWS($AJ$2:AJ59),$AG$2:$AI$151,3,FALSE),"")</f>
        <v/>
      </c>
      <c r="AM59" s="7">
        <f>IF(ISNUMBER(SEARCH(#REF!,AN59)),MAX($AM$1:AM58)+1,0)</f>
        <v>0</v>
      </c>
      <c r="AN59" s="7" t="e">
        <f>#REF!</f>
        <v>#REF!</v>
      </c>
      <c r="AO59" s="7" t="e">
        <f>#REF!</f>
        <v>#REF!</v>
      </c>
      <c r="AP59" s="8" t="str">
        <f>IFERROR(VLOOKUP(ROWS($AP$2:AP59),$AM$2:$AO$151,2,FALSE),"")</f>
        <v/>
      </c>
      <c r="AQ59" s="8" t="str">
        <f>IFERROR(VLOOKUP(ROWS($AP$2:AP59),$AM$2:$AO$151,3,FALSE),"")</f>
        <v/>
      </c>
      <c r="AS59" s="9">
        <f>IF(ISNUMBER(SEARCH(#REF!,AT59)),MAX($AS$1:AS58)+1,0)</f>
        <v>0</v>
      </c>
      <c r="AT59" s="9" t="e">
        <f>#REF!</f>
        <v>#REF!</v>
      </c>
      <c r="AU59" s="9" t="e">
        <f>#REF!</f>
        <v>#REF!</v>
      </c>
      <c r="AV59" s="10" t="str">
        <f>IFERROR(VLOOKUP(ROWS(AV$2:AV59),$AS$2:$AU$151,2,FALSE),"")</f>
        <v/>
      </c>
      <c r="AW59" s="10" t="str">
        <f>IFERROR(VLOOKUP(ROWS($AV$2:AV59),$AS$2:$AU$151,3,FALSE),"")</f>
        <v/>
      </c>
      <c r="AY59" s="9">
        <f>IF(ISNUMBER(SEARCH(#REF!,AZ59)),MAX($AY$1:AY58)+1,0)</f>
        <v>0</v>
      </c>
      <c r="AZ59" s="9" t="e">
        <f>#REF!</f>
        <v>#REF!</v>
      </c>
      <c r="BA59" s="9" t="e">
        <f>#REF!</f>
        <v>#REF!</v>
      </c>
      <c r="BB59" s="10" t="str">
        <f>IFERROR(VLOOKUP(ROWS($BB$2:BB59),$AY$2:$BA$151,2,FALSE),"")</f>
        <v/>
      </c>
      <c r="BC59" s="10" t="str">
        <f>IFERROR(VLOOKUP(ROWS($BB$2:BB59),$AY$2:$BA$151,3,FALSE),"")</f>
        <v/>
      </c>
    </row>
    <row r="60" spans="3:55" x14ac:dyDescent="0.25">
      <c r="C60" s="3">
        <f>IF(ISNUMBER(SEARCH(#REF!,D60)),MAX($C$1:C59)+1,0)</f>
        <v>0</v>
      </c>
      <c r="D60" s="3" t="e">
        <f>#REF!</f>
        <v>#REF!</v>
      </c>
      <c r="E60" s="3" t="e">
        <f>#REF!</f>
        <v>#REF!</v>
      </c>
      <c r="F60" s="4" t="str">
        <f>IFERROR(VLOOKUP(ROWS($F$2:F60),$C$2:$E$151,2,FALSE),"")</f>
        <v/>
      </c>
      <c r="G60" s="4" t="str">
        <f>IFERROR(VLOOKUP(ROWS($F$2:F60),$C$2:$E$151,3,FALSE),"")</f>
        <v/>
      </c>
      <c r="I60" s="3">
        <f>IF(ISNUMBER(SEARCH(#REF!,J60)),MAX($I$1:I59)+1,0)</f>
        <v>0</v>
      </c>
      <c r="J60" s="3" t="e">
        <f>#REF!</f>
        <v>#REF!</v>
      </c>
      <c r="K60" s="3" t="e">
        <f>#REF!</f>
        <v>#REF!</v>
      </c>
      <c r="L60" s="4" t="str">
        <f>IFERROR(VLOOKUP(ROWS($L$2:L60),$I$2:$K$151,2,FALSE),"")</f>
        <v/>
      </c>
      <c r="M60" s="4" t="str">
        <f>IFERROR(VLOOKUP(ROWS($L$2:L60),$I$2:$K$151,3,FALSE),"")</f>
        <v/>
      </c>
      <c r="O60" s="3">
        <f>IF(ISNUMBER(SEARCH(#REF!,P60)),MAX($O$1:O59)+1,0)</f>
        <v>0</v>
      </c>
      <c r="P60" s="3" t="e">
        <f>#REF!</f>
        <v>#REF!</v>
      </c>
      <c r="Q60" s="3" t="e">
        <f>#REF!</f>
        <v>#REF!</v>
      </c>
      <c r="R60" s="4" t="str">
        <f>IFERROR(VLOOKUP(ROWS($R$2:R60),$O$2:$Q$151,2,FALSE),"")</f>
        <v/>
      </c>
      <c r="S60" s="4" t="str">
        <f>IFERROR(VLOOKUP(ROWS($R$2:R60),$O$2:$Q$151,3,FALSE),"")</f>
        <v/>
      </c>
      <c r="U60" s="5">
        <f>IF(ISNUMBER(SEARCH(#REF!,V60)),MAX($U$1:U59)+1,0)</f>
        <v>0</v>
      </c>
      <c r="V60" s="5" t="e">
        <f>#REF!</f>
        <v>#REF!</v>
      </c>
      <c r="W60" s="5" t="e">
        <f>#REF!</f>
        <v>#REF!</v>
      </c>
      <c r="X60" s="6" t="str">
        <f>IFERROR(VLOOKUP(ROWS($X$2:X60),$U$2:$W$151,2,FALSE),"")</f>
        <v/>
      </c>
      <c r="Y60" s="6" t="str">
        <f>IFERROR(VLOOKUP(ROWS($X$2:X60),$U$2:$W$151,3,FALSE),"")</f>
        <v/>
      </c>
      <c r="AA60" s="5">
        <f>IF(ISNUMBER(SEARCH(#REF!,AB60)),MAX($AA$1:AA59)+1,0)</f>
        <v>0</v>
      </c>
      <c r="AB60" s="5" t="e">
        <f>#REF!</f>
        <v>#REF!</v>
      </c>
      <c r="AC60" s="5" t="e">
        <f>#REF!</f>
        <v>#REF!</v>
      </c>
      <c r="AD60" s="6" t="str">
        <f>IFERROR(VLOOKUP(ROWS($AD$2:AD60),$AA$2:$AC$151,2,FALSE),"")</f>
        <v/>
      </c>
      <c r="AE60" s="6" t="str">
        <f>IFERROR(VLOOKUP(ROWS($AD$2:AD60),$AA$2:$AC$151,3,FALSE),"")</f>
        <v/>
      </c>
      <c r="AG60" s="7">
        <f>IF(ISNUMBER(SEARCH(#REF!,AH60)),MAX($AG$1:AG59)+1,0)</f>
        <v>0</v>
      </c>
      <c r="AH60" s="7" t="e">
        <f>#REF!</f>
        <v>#REF!</v>
      </c>
      <c r="AI60" s="7" t="e">
        <f>#REF!</f>
        <v>#REF!</v>
      </c>
      <c r="AJ60" s="8" t="str">
        <f>IFERROR(VLOOKUP(ROWS(AJ$2:AJ60),$AG$2:$AI$151,2,FALSE),"")</f>
        <v/>
      </c>
      <c r="AK60" s="8" t="str">
        <f>IFERROR(VLOOKUP(ROWS($AJ$2:AJ60),$AG$2:$AI$151,3,FALSE),"")</f>
        <v/>
      </c>
      <c r="AM60" s="7">
        <f>IF(ISNUMBER(SEARCH(#REF!,AN60)),MAX($AM$1:AM59)+1,0)</f>
        <v>0</v>
      </c>
      <c r="AN60" s="7" t="e">
        <f>#REF!</f>
        <v>#REF!</v>
      </c>
      <c r="AO60" s="7" t="e">
        <f>#REF!</f>
        <v>#REF!</v>
      </c>
      <c r="AP60" s="8" t="str">
        <f>IFERROR(VLOOKUP(ROWS($AP$2:AP60),$AM$2:$AO$151,2,FALSE),"")</f>
        <v/>
      </c>
      <c r="AQ60" s="8" t="str">
        <f>IFERROR(VLOOKUP(ROWS($AP$2:AP60),$AM$2:$AO$151,3,FALSE),"")</f>
        <v/>
      </c>
      <c r="AS60" s="9">
        <f>IF(ISNUMBER(SEARCH(#REF!,AT60)),MAX($AS$1:AS59)+1,0)</f>
        <v>0</v>
      </c>
      <c r="AT60" s="9" t="e">
        <f>#REF!</f>
        <v>#REF!</v>
      </c>
      <c r="AU60" s="9" t="e">
        <f>#REF!</f>
        <v>#REF!</v>
      </c>
      <c r="AV60" s="10" t="str">
        <f>IFERROR(VLOOKUP(ROWS(AV$2:AV60),$AS$2:$AU$151,2,FALSE),"")</f>
        <v/>
      </c>
      <c r="AW60" s="10" t="str">
        <f>IFERROR(VLOOKUP(ROWS($AV$2:AV60),$AS$2:$AU$151,3,FALSE),"")</f>
        <v/>
      </c>
      <c r="AY60" s="9">
        <f>IF(ISNUMBER(SEARCH(#REF!,AZ60)),MAX($AY$1:AY59)+1,0)</f>
        <v>0</v>
      </c>
      <c r="AZ60" s="9" t="e">
        <f>#REF!</f>
        <v>#REF!</v>
      </c>
      <c r="BA60" s="9" t="e">
        <f>#REF!</f>
        <v>#REF!</v>
      </c>
      <c r="BB60" s="10" t="str">
        <f>IFERROR(VLOOKUP(ROWS($BB$2:BB60),$AY$2:$BA$151,2,FALSE),"")</f>
        <v/>
      </c>
      <c r="BC60" s="10" t="str">
        <f>IFERROR(VLOOKUP(ROWS($BB$2:BB60),$AY$2:$BA$151,3,FALSE),"")</f>
        <v/>
      </c>
    </row>
    <row r="61" spans="3:55" x14ac:dyDescent="0.25">
      <c r="C61" s="3">
        <f>IF(ISNUMBER(SEARCH(#REF!,D61)),MAX($C$1:C60)+1,0)</f>
        <v>0</v>
      </c>
      <c r="D61" s="3" t="e">
        <f>#REF!</f>
        <v>#REF!</v>
      </c>
      <c r="E61" s="3" t="e">
        <f>#REF!</f>
        <v>#REF!</v>
      </c>
      <c r="F61" s="4" t="str">
        <f>IFERROR(VLOOKUP(ROWS($F$2:F61),$C$2:$E$151,2,FALSE),"")</f>
        <v/>
      </c>
      <c r="G61" s="4" t="str">
        <f>IFERROR(VLOOKUP(ROWS($F$2:F61),$C$2:$E$151,3,FALSE),"")</f>
        <v/>
      </c>
      <c r="I61" s="3">
        <f>IF(ISNUMBER(SEARCH(#REF!,J61)),MAX($I$1:I60)+1,0)</f>
        <v>0</v>
      </c>
      <c r="J61" s="3" t="e">
        <f>#REF!</f>
        <v>#REF!</v>
      </c>
      <c r="K61" s="3" t="e">
        <f>#REF!</f>
        <v>#REF!</v>
      </c>
      <c r="L61" s="4" t="str">
        <f>IFERROR(VLOOKUP(ROWS($L$2:L61),$I$2:$K$151,2,FALSE),"")</f>
        <v/>
      </c>
      <c r="M61" s="4" t="str">
        <f>IFERROR(VLOOKUP(ROWS($L$2:L61),$I$2:$K$151,3,FALSE),"")</f>
        <v/>
      </c>
      <c r="O61" s="3">
        <f>IF(ISNUMBER(SEARCH(#REF!,P61)),MAX($O$1:O60)+1,0)</f>
        <v>0</v>
      </c>
      <c r="P61" s="3" t="e">
        <f>#REF!</f>
        <v>#REF!</v>
      </c>
      <c r="Q61" s="3" t="e">
        <f>#REF!</f>
        <v>#REF!</v>
      </c>
      <c r="R61" s="4" t="str">
        <f>IFERROR(VLOOKUP(ROWS($R$2:R61),$O$2:$Q$151,2,FALSE),"")</f>
        <v/>
      </c>
      <c r="S61" s="4" t="str">
        <f>IFERROR(VLOOKUP(ROWS($R$2:R61),$O$2:$Q$151,3,FALSE),"")</f>
        <v/>
      </c>
      <c r="U61" s="5">
        <f>IF(ISNUMBER(SEARCH(#REF!,V61)),MAX($U$1:U60)+1,0)</f>
        <v>0</v>
      </c>
      <c r="V61" s="5" t="e">
        <f>#REF!</f>
        <v>#REF!</v>
      </c>
      <c r="W61" s="5" t="e">
        <f>#REF!</f>
        <v>#REF!</v>
      </c>
      <c r="X61" s="6" t="str">
        <f>IFERROR(VLOOKUP(ROWS($X$2:X61),$U$2:$W$151,2,FALSE),"")</f>
        <v/>
      </c>
      <c r="Y61" s="6" t="str">
        <f>IFERROR(VLOOKUP(ROWS($X$2:X61),$U$2:$W$151,3,FALSE),"")</f>
        <v/>
      </c>
      <c r="AA61" s="5">
        <f>IF(ISNUMBER(SEARCH(#REF!,AB61)),MAX($AA$1:AA60)+1,0)</f>
        <v>0</v>
      </c>
      <c r="AB61" s="5" t="e">
        <f>#REF!</f>
        <v>#REF!</v>
      </c>
      <c r="AC61" s="5" t="e">
        <f>#REF!</f>
        <v>#REF!</v>
      </c>
      <c r="AD61" s="6" t="str">
        <f>IFERROR(VLOOKUP(ROWS($AD$2:AD61),$AA$2:$AC$151,2,FALSE),"")</f>
        <v/>
      </c>
      <c r="AE61" s="6" t="str">
        <f>IFERROR(VLOOKUP(ROWS($AD$2:AD61),$AA$2:$AC$151,3,FALSE),"")</f>
        <v/>
      </c>
      <c r="AG61" s="7">
        <f>IF(ISNUMBER(SEARCH(#REF!,AH61)),MAX($AG$1:AG60)+1,0)</f>
        <v>0</v>
      </c>
      <c r="AH61" s="7" t="e">
        <f>#REF!</f>
        <v>#REF!</v>
      </c>
      <c r="AI61" s="7" t="e">
        <f>#REF!</f>
        <v>#REF!</v>
      </c>
      <c r="AJ61" s="8" t="str">
        <f>IFERROR(VLOOKUP(ROWS(AJ$2:AJ61),$AG$2:$AI$151,2,FALSE),"")</f>
        <v/>
      </c>
      <c r="AK61" s="8" t="str">
        <f>IFERROR(VLOOKUP(ROWS($AJ$2:AJ61),$AG$2:$AI$151,3,FALSE),"")</f>
        <v/>
      </c>
      <c r="AM61" s="7">
        <f>IF(ISNUMBER(SEARCH(#REF!,AN61)),MAX($AM$1:AM60)+1,0)</f>
        <v>0</v>
      </c>
      <c r="AN61" s="7" t="e">
        <f>#REF!</f>
        <v>#REF!</v>
      </c>
      <c r="AO61" s="7" t="e">
        <f>#REF!</f>
        <v>#REF!</v>
      </c>
      <c r="AP61" s="8" t="str">
        <f>IFERROR(VLOOKUP(ROWS($AP$2:AP61),$AM$2:$AO$151,2,FALSE),"")</f>
        <v/>
      </c>
      <c r="AQ61" s="8" t="str">
        <f>IFERROR(VLOOKUP(ROWS($AP$2:AP61),$AM$2:$AO$151,3,FALSE),"")</f>
        <v/>
      </c>
      <c r="AS61" s="9">
        <f>IF(ISNUMBER(SEARCH(#REF!,AT61)),MAX($AS$1:AS60)+1,0)</f>
        <v>0</v>
      </c>
      <c r="AT61" s="9" t="e">
        <f>#REF!</f>
        <v>#REF!</v>
      </c>
      <c r="AU61" s="9" t="e">
        <f>#REF!</f>
        <v>#REF!</v>
      </c>
      <c r="AV61" s="10" t="str">
        <f>IFERROR(VLOOKUP(ROWS(AV$2:AV61),$AS$2:$AU$151,2,FALSE),"")</f>
        <v/>
      </c>
      <c r="AW61" s="10" t="str">
        <f>IFERROR(VLOOKUP(ROWS($AV$2:AV61),$AS$2:$AU$151,3,FALSE),"")</f>
        <v/>
      </c>
      <c r="AY61" s="9">
        <f>IF(ISNUMBER(SEARCH(#REF!,AZ61)),MAX($AY$1:AY60)+1,0)</f>
        <v>0</v>
      </c>
      <c r="AZ61" s="9" t="e">
        <f>#REF!</f>
        <v>#REF!</v>
      </c>
      <c r="BA61" s="9" t="e">
        <f>#REF!</f>
        <v>#REF!</v>
      </c>
      <c r="BB61" s="10" t="str">
        <f>IFERROR(VLOOKUP(ROWS($BB$2:BB61),$AY$2:$BA$151,2,FALSE),"")</f>
        <v/>
      </c>
      <c r="BC61" s="10" t="str">
        <f>IFERROR(VLOOKUP(ROWS($BB$2:BB61),$AY$2:$BA$151,3,FALSE),"")</f>
        <v/>
      </c>
    </row>
    <row r="62" spans="3:55" x14ac:dyDescent="0.25">
      <c r="C62" s="3">
        <f>IF(ISNUMBER(SEARCH(#REF!,D62)),MAX($C$1:C61)+1,0)</f>
        <v>0</v>
      </c>
      <c r="D62" s="3" t="e">
        <f>#REF!</f>
        <v>#REF!</v>
      </c>
      <c r="E62" s="3" t="e">
        <f>#REF!</f>
        <v>#REF!</v>
      </c>
      <c r="F62" s="4" t="str">
        <f>IFERROR(VLOOKUP(ROWS($F$2:F62),$C$2:$E$151,2,FALSE),"")</f>
        <v/>
      </c>
      <c r="G62" s="4" t="str">
        <f>IFERROR(VLOOKUP(ROWS($F$2:F62),$C$2:$E$151,3,FALSE),"")</f>
        <v/>
      </c>
      <c r="I62" s="3">
        <f>IF(ISNUMBER(SEARCH(#REF!,J62)),MAX($I$1:I61)+1,0)</f>
        <v>0</v>
      </c>
      <c r="J62" s="3" t="e">
        <f>#REF!</f>
        <v>#REF!</v>
      </c>
      <c r="K62" s="3" t="e">
        <f>#REF!</f>
        <v>#REF!</v>
      </c>
      <c r="L62" s="4" t="str">
        <f>IFERROR(VLOOKUP(ROWS($L$2:L62),$I$2:$K$151,2,FALSE),"")</f>
        <v/>
      </c>
      <c r="M62" s="4" t="str">
        <f>IFERROR(VLOOKUP(ROWS($L$2:L62),$I$2:$K$151,3,FALSE),"")</f>
        <v/>
      </c>
      <c r="O62" s="3">
        <f>IF(ISNUMBER(SEARCH(#REF!,P62)),MAX($O$1:O61)+1,0)</f>
        <v>0</v>
      </c>
      <c r="P62" s="3" t="e">
        <f>#REF!</f>
        <v>#REF!</v>
      </c>
      <c r="Q62" s="3" t="e">
        <f>#REF!</f>
        <v>#REF!</v>
      </c>
      <c r="R62" s="4" t="str">
        <f>IFERROR(VLOOKUP(ROWS($R$2:R62),$O$2:$Q$151,2,FALSE),"")</f>
        <v/>
      </c>
      <c r="S62" s="4" t="str">
        <f>IFERROR(VLOOKUP(ROWS($R$2:R62),$O$2:$Q$151,3,FALSE),"")</f>
        <v/>
      </c>
      <c r="U62" s="5">
        <f>IF(ISNUMBER(SEARCH(#REF!,V62)),MAX($U$1:U61)+1,0)</f>
        <v>0</v>
      </c>
      <c r="V62" s="5" t="e">
        <f>#REF!</f>
        <v>#REF!</v>
      </c>
      <c r="W62" s="5" t="e">
        <f>#REF!</f>
        <v>#REF!</v>
      </c>
      <c r="X62" s="6" t="str">
        <f>IFERROR(VLOOKUP(ROWS($X$2:X62),$U$2:$W$151,2,FALSE),"")</f>
        <v/>
      </c>
      <c r="Y62" s="6" t="str">
        <f>IFERROR(VLOOKUP(ROWS($X$2:X62),$U$2:$W$151,3,FALSE),"")</f>
        <v/>
      </c>
      <c r="AA62" s="5">
        <f>IF(ISNUMBER(SEARCH(#REF!,AB62)),MAX($AA$1:AA61)+1,0)</f>
        <v>0</v>
      </c>
      <c r="AB62" s="5" t="e">
        <f>#REF!</f>
        <v>#REF!</v>
      </c>
      <c r="AC62" s="5" t="e">
        <f>#REF!</f>
        <v>#REF!</v>
      </c>
      <c r="AD62" s="6" t="str">
        <f>IFERROR(VLOOKUP(ROWS($AD$2:AD62),$AA$2:$AC$151,2,FALSE),"")</f>
        <v/>
      </c>
      <c r="AE62" s="6" t="str">
        <f>IFERROR(VLOOKUP(ROWS($AD$2:AD62),$AA$2:$AC$151,3,FALSE),"")</f>
        <v/>
      </c>
      <c r="AG62" s="7">
        <f>IF(ISNUMBER(SEARCH(#REF!,AH62)),MAX($AG$1:AG61)+1,0)</f>
        <v>0</v>
      </c>
      <c r="AH62" s="7" t="e">
        <f>#REF!</f>
        <v>#REF!</v>
      </c>
      <c r="AI62" s="7" t="e">
        <f>#REF!</f>
        <v>#REF!</v>
      </c>
      <c r="AJ62" s="8" t="str">
        <f>IFERROR(VLOOKUP(ROWS(AJ$2:AJ62),$AG$2:$AI$151,2,FALSE),"")</f>
        <v/>
      </c>
      <c r="AK62" s="8" t="str">
        <f>IFERROR(VLOOKUP(ROWS($AJ$2:AJ62),$AG$2:$AI$151,3,FALSE),"")</f>
        <v/>
      </c>
      <c r="AM62" s="7">
        <f>IF(ISNUMBER(SEARCH(#REF!,AN62)),MAX($AM$1:AM61)+1,0)</f>
        <v>0</v>
      </c>
      <c r="AN62" s="7" t="e">
        <f>#REF!</f>
        <v>#REF!</v>
      </c>
      <c r="AO62" s="7" t="e">
        <f>#REF!</f>
        <v>#REF!</v>
      </c>
      <c r="AP62" s="8" t="str">
        <f>IFERROR(VLOOKUP(ROWS($AP$2:AP62),$AM$2:$AO$151,2,FALSE),"")</f>
        <v/>
      </c>
      <c r="AQ62" s="8" t="str">
        <f>IFERROR(VLOOKUP(ROWS($AP$2:AP62),$AM$2:$AO$151,3,FALSE),"")</f>
        <v/>
      </c>
      <c r="AS62" s="9">
        <f>IF(ISNUMBER(SEARCH(#REF!,AT62)),MAX($AS$1:AS61)+1,0)</f>
        <v>0</v>
      </c>
      <c r="AT62" s="9" t="e">
        <f>#REF!</f>
        <v>#REF!</v>
      </c>
      <c r="AU62" s="9" t="e">
        <f>#REF!</f>
        <v>#REF!</v>
      </c>
      <c r="AV62" s="10" t="str">
        <f>IFERROR(VLOOKUP(ROWS(AV$2:AV62),$AS$2:$AU$151,2,FALSE),"")</f>
        <v/>
      </c>
      <c r="AW62" s="10" t="str">
        <f>IFERROR(VLOOKUP(ROWS($AV$2:AV62),$AS$2:$AU$151,3,FALSE),"")</f>
        <v/>
      </c>
      <c r="AY62" s="9">
        <f>IF(ISNUMBER(SEARCH(#REF!,AZ62)),MAX($AY$1:AY61)+1,0)</f>
        <v>0</v>
      </c>
      <c r="AZ62" s="9" t="e">
        <f>#REF!</f>
        <v>#REF!</v>
      </c>
      <c r="BA62" s="9" t="e">
        <f>#REF!</f>
        <v>#REF!</v>
      </c>
      <c r="BB62" s="10" t="str">
        <f>IFERROR(VLOOKUP(ROWS($BB$2:BB62),$AY$2:$BA$151,2,FALSE),"")</f>
        <v/>
      </c>
      <c r="BC62" s="10" t="str">
        <f>IFERROR(VLOOKUP(ROWS($BB$2:BB62),$AY$2:$BA$151,3,FALSE),"")</f>
        <v/>
      </c>
    </row>
    <row r="63" spans="3:55" x14ac:dyDescent="0.25">
      <c r="C63" s="3">
        <f>IF(ISNUMBER(SEARCH(#REF!,D63)),MAX($C$1:C62)+1,0)</f>
        <v>0</v>
      </c>
      <c r="D63" s="3" t="e">
        <f>#REF!</f>
        <v>#REF!</v>
      </c>
      <c r="E63" s="3" t="e">
        <f>#REF!</f>
        <v>#REF!</v>
      </c>
      <c r="F63" s="4" t="str">
        <f>IFERROR(VLOOKUP(ROWS($F$2:F63),$C$2:$E$151,2,FALSE),"")</f>
        <v/>
      </c>
      <c r="G63" s="4" t="str">
        <f>IFERROR(VLOOKUP(ROWS($F$2:F63),$C$2:$E$151,3,FALSE),"")</f>
        <v/>
      </c>
      <c r="I63" s="3">
        <f>IF(ISNUMBER(SEARCH(#REF!,J63)),MAX($I$1:I62)+1,0)</f>
        <v>0</v>
      </c>
      <c r="J63" s="3" t="e">
        <f>#REF!</f>
        <v>#REF!</v>
      </c>
      <c r="K63" s="3" t="e">
        <f>#REF!</f>
        <v>#REF!</v>
      </c>
      <c r="L63" s="4" t="str">
        <f>IFERROR(VLOOKUP(ROWS($L$2:L63),$I$2:$K$151,2,FALSE),"")</f>
        <v/>
      </c>
      <c r="M63" s="4" t="str">
        <f>IFERROR(VLOOKUP(ROWS($L$2:L63),$I$2:$K$151,3,FALSE),"")</f>
        <v/>
      </c>
      <c r="O63" s="3">
        <f>IF(ISNUMBER(SEARCH(#REF!,P63)),MAX($O$1:O62)+1,0)</f>
        <v>0</v>
      </c>
      <c r="P63" s="3" t="e">
        <f>#REF!</f>
        <v>#REF!</v>
      </c>
      <c r="Q63" s="3" t="e">
        <f>#REF!</f>
        <v>#REF!</v>
      </c>
      <c r="R63" s="4" t="str">
        <f>IFERROR(VLOOKUP(ROWS($R$2:R63),$O$2:$Q$151,2,FALSE),"")</f>
        <v/>
      </c>
      <c r="S63" s="4" t="str">
        <f>IFERROR(VLOOKUP(ROWS($R$2:R63),$O$2:$Q$151,3,FALSE),"")</f>
        <v/>
      </c>
      <c r="U63" s="5">
        <f>IF(ISNUMBER(SEARCH(#REF!,V63)),MAX($U$1:U62)+1,0)</f>
        <v>0</v>
      </c>
      <c r="V63" s="5" t="e">
        <f>#REF!</f>
        <v>#REF!</v>
      </c>
      <c r="W63" s="5" t="e">
        <f>#REF!</f>
        <v>#REF!</v>
      </c>
      <c r="X63" s="6" t="str">
        <f>IFERROR(VLOOKUP(ROWS($X$2:X63),$U$2:$W$151,2,FALSE),"")</f>
        <v/>
      </c>
      <c r="Y63" s="6" t="str">
        <f>IFERROR(VLOOKUP(ROWS($X$2:X63),$U$2:$W$151,3,FALSE),"")</f>
        <v/>
      </c>
      <c r="AA63" s="5">
        <f>IF(ISNUMBER(SEARCH(#REF!,AB63)),MAX($AA$1:AA62)+1,0)</f>
        <v>0</v>
      </c>
      <c r="AB63" s="5" t="e">
        <f>#REF!</f>
        <v>#REF!</v>
      </c>
      <c r="AC63" s="5" t="e">
        <f>#REF!</f>
        <v>#REF!</v>
      </c>
      <c r="AD63" s="6" t="str">
        <f>IFERROR(VLOOKUP(ROWS($AD$2:AD63),$AA$2:$AC$151,2,FALSE),"")</f>
        <v/>
      </c>
      <c r="AE63" s="6" t="str">
        <f>IFERROR(VLOOKUP(ROWS($AD$2:AD63),$AA$2:$AC$151,3,FALSE),"")</f>
        <v/>
      </c>
      <c r="AG63" s="7">
        <f>IF(ISNUMBER(SEARCH(#REF!,AH63)),MAX($AG$1:AG62)+1,0)</f>
        <v>0</v>
      </c>
      <c r="AH63" s="7" t="e">
        <f>#REF!</f>
        <v>#REF!</v>
      </c>
      <c r="AI63" s="7" t="e">
        <f>#REF!</f>
        <v>#REF!</v>
      </c>
      <c r="AJ63" s="8" t="str">
        <f>IFERROR(VLOOKUP(ROWS(AJ$2:AJ63),$AG$2:$AI$151,2,FALSE),"")</f>
        <v/>
      </c>
      <c r="AK63" s="8" t="str">
        <f>IFERROR(VLOOKUP(ROWS($AJ$2:AJ63),$AG$2:$AI$151,3,FALSE),"")</f>
        <v/>
      </c>
      <c r="AM63" s="7">
        <f>IF(ISNUMBER(SEARCH(#REF!,AN63)),MAX($AM$1:AM62)+1,0)</f>
        <v>0</v>
      </c>
      <c r="AN63" s="7" t="e">
        <f>#REF!</f>
        <v>#REF!</v>
      </c>
      <c r="AO63" s="7" t="e">
        <f>#REF!</f>
        <v>#REF!</v>
      </c>
      <c r="AP63" s="8" t="str">
        <f>IFERROR(VLOOKUP(ROWS($AP$2:AP63),$AM$2:$AO$151,2,FALSE),"")</f>
        <v/>
      </c>
      <c r="AQ63" s="8" t="str">
        <f>IFERROR(VLOOKUP(ROWS($AP$2:AP63),$AM$2:$AO$151,3,FALSE),"")</f>
        <v/>
      </c>
      <c r="AS63" s="9">
        <f>IF(ISNUMBER(SEARCH(#REF!,AT63)),MAX($AS$1:AS62)+1,0)</f>
        <v>0</v>
      </c>
      <c r="AT63" s="9" t="e">
        <f>#REF!</f>
        <v>#REF!</v>
      </c>
      <c r="AU63" s="9" t="e">
        <f>#REF!</f>
        <v>#REF!</v>
      </c>
      <c r="AV63" s="10" t="str">
        <f>IFERROR(VLOOKUP(ROWS(AV$2:AV63),$AS$2:$AU$151,2,FALSE),"")</f>
        <v/>
      </c>
      <c r="AW63" s="10" t="str">
        <f>IFERROR(VLOOKUP(ROWS($AV$2:AV63),$AS$2:$AU$151,3,FALSE),"")</f>
        <v/>
      </c>
      <c r="AY63" s="9">
        <f>IF(ISNUMBER(SEARCH(#REF!,AZ63)),MAX($AY$1:AY62)+1,0)</f>
        <v>0</v>
      </c>
      <c r="AZ63" s="9" t="e">
        <f>#REF!</f>
        <v>#REF!</v>
      </c>
      <c r="BA63" s="9" t="e">
        <f>#REF!</f>
        <v>#REF!</v>
      </c>
      <c r="BB63" s="10" t="str">
        <f>IFERROR(VLOOKUP(ROWS($BB$2:BB63),$AY$2:$BA$151,2,FALSE),"")</f>
        <v/>
      </c>
      <c r="BC63" s="10" t="str">
        <f>IFERROR(VLOOKUP(ROWS($BB$2:BB63),$AY$2:$BA$151,3,FALSE),"")</f>
        <v/>
      </c>
    </row>
    <row r="64" spans="3:55" x14ac:dyDescent="0.25">
      <c r="C64" s="3">
        <f>IF(ISNUMBER(SEARCH(#REF!,D64)),MAX($C$1:C63)+1,0)</f>
        <v>0</v>
      </c>
      <c r="D64" s="3" t="e">
        <f>#REF!</f>
        <v>#REF!</v>
      </c>
      <c r="E64" s="3" t="e">
        <f>#REF!</f>
        <v>#REF!</v>
      </c>
      <c r="F64" s="4" t="str">
        <f>IFERROR(VLOOKUP(ROWS($F$2:F64),$C$2:$E$151,2,FALSE),"")</f>
        <v/>
      </c>
      <c r="G64" s="4" t="str">
        <f>IFERROR(VLOOKUP(ROWS($F$2:F64),$C$2:$E$151,3,FALSE),"")</f>
        <v/>
      </c>
      <c r="I64" s="3">
        <f>IF(ISNUMBER(SEARCH(#REF!,J64)),MAX($I$1:I63)+1,0)</f>
        <v>0</v>
      </c>
      <c r="J64" s="3" t="e">
        <f>#REF!</f>
        <v>#REF!</v>
      </c>
      <c r="K64" s="3" t="e">
        <f>#REF!</f>
        <v>#REF!</v>
      </c>
      <c r="L64" s="4" t="str">
        <f>IFERROR(VLOOKUP(ROWS($L$2:L64),$I$2:$K$151,2,FALSE),"")</f>
        <v/>
      </c>
      <c r="M64" s="4" t="str">
        <f>IFERROR(VLOOKUP(ROWS($L$2:L64),$I$2:$K$151,3,FALSE),"")</f>
        <v/>
      </c>
      <c r="O64" s="3">
        <f>IF(ISNUMBER(SEARCH(#REF!,P64)),MAX($O$1:O63)+1,0)</f>
        <v>0</v>
      </c>
      <c r="P64" s="3" t="e">
        <f>#REF!</f>
        <v>#REF!</v>
      </c>
      <c r="Q64" s="3" t="e">
        <f>#REF!</f>
        <v>#REF!</v>
      </c>
      <c r="R64" s="4" t="str">
        <f>IFERROR(VLOOKUP(ROWS($R$2:R64),$O$2:$Q$151,2,FALSE),"")</f>
        <v/>
      </c>
      <c r="S64" s="4" t="str">
        <f>IFERROR(VLOOKUP(ROWS($R$2:R64),$O$2:$Q$151,3,FALSE),"")</f>
        <v/>
      </c>
      <c r="U64" s="5">
        <f>IF(ISNUMBER(SEARCH(#REF!,V64)),MAX($U$1:U63)+1,0)</f>
        <v>0</v>
      </c>
      <c r="V64" s="5" t="e">
        <f>#REF!</f>
        <v>#REF!</v>
      </c>
      <c r="W64" s="5" t="e">
        <f>#REF!</f>
        <v>#REF!</v>
      </c>
      <c r="X64" s="6" t="str">
        <f>IFERROR(VLOOKUP(ROWS($X$2:X64),$U$2:$W$151,2,FALSE),"")</f>
        <v/>
      </c>
      <c r="Y64" s="6" t="str">
        <f>IFERROR(VLOOKUP(ROWS($X$2:X64),$U$2:$W$151,3,FALSE),"")</f>
        <v/>
      </c>
      <c r="AA64" s="5">
        <f>IF(ISNUMBER(SEARCH(#REF!,AB64)),MAX($AA$1:AA63)+1,0)</f>
        <v>0</v>
      </c>
      <c r="AB64" s="5" t="e">
        <f>#REF!</f>
        <v>#REF!</v>
      </c>
      <c r="AC64" s="5" t="e">
        <f>#REF!</f>
        <v>#REF!</v>
      </c>
      <c r="AD64" s="6" t="str">
        <f>IFERROR(VLOOKUP(ROWS($AD$2:AD64),$AA$2:$AC$151,2,FALSE),"")</f>
        <v/>
      </c>
      <c r="AE64" s="6" t="str">
        <f>IFERROR(VLOOKUP(ROWS($AD$2:AD64),$AA$2:$AC$151,3,FALSE),"")</f>
        <v/>
      </c>
      <c r="AG64" s="7">
        <f>IF(ISNUMBER(SEARCH(#REF!,AH64)),MAX($AG$1:AG63)+1,0)</f>
        <v>0</v>
      </c>
      <c r="AH64" s="7" t="e">
        <f>#REF!</f>
        <v>#REF!</v>
      </c>
      <c r="AI64" s="7" t="e">
        <f>#REF!</f>
        <v>#REF!</v>
      </c>
      <c r="AJ64" s="8" t="str">
        <f>IFERROR(VLOOKUP(ROWS(AJ$2:AJ64),$AG$2:$AI$151,2,FALSE),"")</f>
        <v/>
      </c>
      <c r="AK64" s="8" t="str">
        <f>IFERROR(VLOOKUP(ROWS($AJ$2:AJ64),$AG$2:$AI$151,3,FALSE),"")</f>
        <v/>
      </c>
      <c r="AM64" s="7">
        <f>IF(ISNUMBER(SEARCH(#REF!,AN64)),MAX($AM$1:AM63)+1,0)</f>
        <v>0</v>
      </c>
      <c r="AN64" s="7" t="e">
        <f>#REF!</f>
        <v>#REF!</v>
      </c>
      <c r="AO64" s="7" t="e">
        <f>#REF!</f>
        <v>#REF!</v>
      </c>
      <c r="AP64" s="8" t="str">
        <f>IFERROR(VLOOKUP(ROWS($AP$2:AP64),$AM$2:$AO$151,2,FALSE),"")</f>
        <v/>
      </c>
      <c r="AQ64" s="8" t="str">
        <f>IFERROR(VLOOKUP(ROWS($AP$2:AP64),$AM$2:$AO$151,3,FALSE),"")</f>
        <v/>
      </c>
      <c r="AS64" s="9">
        <f>IF(ISNUMBER(SEARCH(#REF!,AT64)),MAX($AS$1:AS63)+1,0)</f>
        <v>0</v>
      </c>
      <c r="AT64" s="9" t="e">
        <f>#REF!</f>
        <v>#REF!</v>
      </c>
      <c r="AU64" s="9" t="e">
        <f>#REF!</f>
        <v>#REF!</v>
      </c>
      <c r="AV64" s="10" t="str">
        <f>IFERROR(VLOOKUP(ROWS(AV$2:AV64),$AS$2:$AU$151,2,FALSE),"")</f>
        <v/>
      </c>
      <c r="AW64" s="10" t="str">
        <f>IFERROR(VLOOKUP(ROWS($AV$2:AV64),$AS$2:$AU$151,3,FALSE),"")</f>
        <v/>
      </c>
      <c r="AY64" s="9">
        <f>IF(ISNUMBER(SEARCH(#REF!,AZ64)),MAX($AY$1:AY63)+1,0)</f>
        <v>0</v>
      </c>
      <c r="AZ64" s="9" t="e">
        <f>#REF!</f>
        <v>#REF!</v>
      </c>
      <c r="BA64" s="9" t="e">
        <f>#REF!</f>
        <v>#REF!</v>
      </c>
      <c r="BB64" s="10" t="str">
        <f>IFERROR(VLOOKUP(ROWS($BB$2:BB64),$AY$2:$BA$151,2,FALSE),"")</f>
        <v/>
      </c>
      <c r="BC64" s="10" t="str">
        <f>IFERROR(VLOOKUP(ROWS($BB$2:BB64),$AY$2:$BA$151,3,FALSE),"")</f>
        <v/>
      </c>
    </row>
    <row r="65" spans="3:55" x14ac:dyDescent="0.25">
      <c r="C65" s="3">
        <f>IF(ISNUMBER(SEARCH(#REF!,D65)),MAX($C$1:C64)+1,0)</f>
        <v>0</v>
      </c>
      <c r="D65" s="3" t="e">
        <f>#REF!</f>
        <v>#REF!</v>
      </c>
      <c r="E65" s="3" t="e">
        <f>#REF!</f>
        <v>#REF!</v>
      </c>
      <c r="F65" s="4" t="str">
        <f>IFERROR(VLOOKUP(ROWS($F$2:F65),$C$2:$E$151,2,FALSE),"")</f>
        <v/>
      </c>
      <c r="G65" s="4" t="str">
        <f>IFERROR(VLOOKUP(ROWS($F$2:F65),$C$2:$E$151,3,FALSE),"")</f>
        <v/>
      </c>
      <c r="I65" s="3">
        <f>IF(ISNUMBER(SEARCH(#REF!,J65)),MAX($I$1:I64)+1,0)</f>
        <v>0</v>
      </c>
      <c r="J65" s="3" t="e">
        <f>#REF!</f>
        <v>#REF!</v>
      </c>
      <c r="K65" s="3" t="e">
        <f>#REF!</f>
        <v>#REF!</v>
      </c>
      <c r="L65" s="4" t="str">
        <f>IFERROR(VLOOKUP(ROWS($L$2:L65),$I$2:$K$151,2,FALSE),"")</f>
        <v/>
      </c>
      <c r="M65" s="4" t="str">
        <f>IFERROR(VLOOKUP(ROWS($L$2:L65),$I$2:$K$151,3,FALSE),"")</f>
        <v/>
      </c>
      <c r="O65" s="3">
        <f>IF(ISNUMBER(SEARCH(#REF!,P65)),MAX($O$1:O64)+1,0)</f>
        <v>0</v>
      </c>
      <c r="P65" s="3" t="e">
        <f>#REF!</f>
        <v>#REF!</v>
      </c>
      <c r="Q65" s="3" t="e">
        <f>#REF!</f>
        <v>#REF!</v>
      </c>
      <c r="R65" s="4" t="str">
        <f>IFERROR(VLOOKUP(ROWS($R$2:R65),$O$2:$Q$151,2,FALSE),"")</f>
        <v/>
      </c>
      <c r="S65" s="4" t="str">
        <f>IFERROR(VLOOKUP(ROWS($R$2:R65),$O$2:$Q$151,3,FALSE),"")</f>
        <v/>
      </c>
      <c r="U65" s="5">
        <f>IF(ISNUMBER(SEARCH(#REF!,V65)),MAX($U$1:U64)+1,0)</f>
        <v>0</v>
      </c>
      <c r="V65" s="5" t="e">
        <f>#REF!</f>
        <v>#REF!</v>
      </c>
      <c r="W65" s="5" t="e">
        <f>#REF!</f>
        <v>#REF!</v>
      </c>
      <c r="X65" s="6" t="str">
        <f>IFERROR(VLOOKUP(ROWS($X$2:X65),$U$2:$W$151,2,FALSE),"")</f>
        <v/>
      </c>
      <c r="Y65" s="6" t="str">
        <f>IFERROR(VLOOKUP(ROWS($X$2:X65),$U$2:$W$151,3,FALSE),"")</f>
        <v/>
      </c>
      <c r="AA65" s="5">
        <f>IF(ISNUMBER(SEARCH(#REF!,AB65)),MAX($AA$1:AA64)+1,0)</f>
        <v>0</v>
      </c>
      <c r="AB65" s="5" t="e">
        <f>#REF!</f>
        <v>#REF!</v>
      </c>
      <c r="AC65" s="5" t="e">
        <f>#REF!</f>
        <v>#REF!</v>
      </c>
      <c r="AD65" s="6" t="str">
        <f>IFERROR(VLOOKUP(ROWS($AD$2:AD65),$AA$2:$AC$151,2,FALSE),"")</f>
        <v/>
      </c>
      <c r="AE65" s="6" t="str">
        <f>IFERROR(VLOOKUP(ROWS($AD$2:AD65),$AA$2:$AC$151,3,FALSE),"")</f>
        <v/>
      </c>
      <c r="AG65" s="7">
        <f>IF(ISNUMBER(SEARCH(#REF!,AH65)),MAX($AG$1:AG64)+1,0)</f>
        <v>0</v>
      </c>
      <c r="AH65" s="7" t="e">
        <f>#REF!</f>
        <v>#REF!</v>
      </c>
      <c r="AI65" s="7" t="e">
        <f>#REF!</f>
        <v>#REF!</v>
      </c>
      <c r="AJ65" s="8" t="str">
        <f>IFERROR(VLOOKUP(ROWS(AJ$2:AJ65),$AG$2:$AI$151,2,FALSE),"")</f>
        <v/>
      </c>
      <c r="AK65" s="8" t="str">
        <f>IFERROR(VLOOKUP(ROWS($AJ$2:AJ65),$AG$2:$AI$151,3,FALSE),"")</f>
        <v/>
      </c>
      <c r="AM65" s="7">
        <f>IF(ISNUMBER(SEARCH(#REF!,AN65)),MAX($AM$1:AM64)+1,0)</f>
        <v>0</v>
      </c>
      <c r="AN65" s="7" t="e">
        <f>#REF!</f>
        <v>#REF!</v>
      </c>
      <c r="AO65" s="7" t="e">
        <f>#REF!</f>
        <v>#REF!</v>
      </c>
      <c r="AP65" s="8" t="str">
        <f>IFERROR(VLOOKUP(ROWS($AP$2:AP65),$AM$2:$AO$151,2,FALSE),"")</f>
        <v/>
      </c>
      <c r="AQ65" s="8" t="str">
        <f>IFERROR(VLOOKUP(ROWS($AP$2:AP65),$AM$2:$AO$151,3,FALSE),"")</f>
        <v/>
      </c>
      <c r="AS65" s="9">
        <f>IF(ISNUMBER(SEARCH(#REF!,AT65)),MAX($AS$1:AS64)+1,0)</f>
        <v>0</v>
      </c>
      <c r="AT65" s="9" t="e">
        <f>#REF!</f>
        <v>#REF!</v>
      </c>
      <c r="AU65" s="9" t="e">
        <f>#REF!</f>
        <v>#REF!</v>
      </c>
      <c r="AV65" s="10" t="str">
        <f>IFERROR(VLOOKUP(ROWS(AV$2:AV65),$AS$2:$AU$151,2,FALSE),"")</f>
        <v/>
      </c>
      <c r="AW65" s="10" t="str">
        <f>IFERROR(VLOOKUP(ROWS($AV$2:AV65),$AS$2:$AU$151,3,FALSE),"")</f>
        <v/>
      </c>
      <c r="AY65" s="9">
        <f>IF(ISNUMBER(SEARCH(#REF!,AZ65)),MAX($AY$1:AY64)+1,0)</f>
        <v>0</v>
      </c>
      <c r="AZ65" s="9" t="e">
        <f>#REF!</f>
        <v>#REF!</v>
      </c>
      <c r="BA65" s="9" t="e">
        <f>#REF!</f>
        <v>#REF!</v>
      </c>
      <c r="BB65" s="10" t="str">
        <f>IFERROR(VLOOKUP(ROWS($BB$2:BB65),$AY$2:$BA$151,2,FALSE),"")</f>
        <v/>
      </c>
      <c r="BC65" s="10" t="str">
        <f>IFERROR(VLOOKUP(ROWS($BB$2:BB65),$AY$2:$BA$151,3,FALSE),"")</f>
        <v/>
      </c>
    </row>
    <row r="66" spans="3:55" x14ac:dyDescent="0.25">
      <c r="C66" s="3">
        <f>IF(ISNUMBER(SEARCH(#REF!,D66)),MAX($C$1:C65)+1,0)</f>
        <v>0</v>
      </c>
      <c r="D66" s="3" t="e">
        <f>#REF!</f>
        <v>#REF!</v>
      </c>
      <c r="E66" s="3" t="e">
        <f>#REF!</f>
        <v>#REF!</v>
      </c>
      <c r="F66" s="4" t="str">
        <f>IFERROR(VLOOKUP(ROWS($F$2:F66),$C$2:$E$151,2,FALSE),"")</f>
        <v/>
      </c>
      <c r="G66" s="4" t="str">
        <f>IFERROR(VLOOKUP(ROWS($F$2:F66),$C$2:$E$151,3,FALSE),"")</f>
        <v/>
      </c>
      <c r="I66" s="3">
        <f>IF(ISNUMBER(SEARCH(#REF!,J66)),MAX($I$1:I65)+1,0)</f>
        <v>0</v>
      </c>
      <c r="J66" s="3" t="e">
        <f>#REF!</f>
        <v>#REF!</v>
      </c>
      <c r="K66" s="3" t="e">
        <f>#REF!</f>
        <v>#REF!</v>
      </c>
      <c r="L66" s="4" t="str">
        <f>IFERROR(VLOOKUP(ROWS($L$2:L66),$I$2:$K$151,2,FALSE),"")</f>
        <v/>
      </c>
      <c r="M66" s="4" t="str">
        <f>IFERROR(VLOOKUP(ROWS($L$2:L66),$I$2:$K$151,3,FALSE),"")</f>
        <v/>
      </c>
      <c r="O66" s="3">
        <f>IF(ISNUMBER(SEARCH(#REF!,P66)),MAX($O$1:O65)+1,0)</f>
        <v>0</v>
      </c>
      <c r="P66" s="3" t="e">
        <f>#REF!</f>
        <v>#REF!</v>
      </c>
      <c r="Q66" s="3" t="e">
        <f>#REF!</f>
        <v>#REF!</v>
      </c>
      <c r="R66" s="4" t="str">
        <f>IFERROR(VLOOKUP(ROWS($R$2:R66),$O$2:$Q$151,2,FALSE),"")</f>
        <v/>
      </c>
      <c r="S66" s="4" t="str">
        <f>IFERROR(VLOOKUP(ROWS($R$2:R66),$O$2:$Q$151,3,FALSE),"")</f>
        <v/>
      </c>
      <c r="U66" s="5">
        <f>IF(ISNUMBER(SEARCH(#REF!,V66)),MAX($U$1:U65)+1,0)</f>
        <v>0</v>
      </c>
      <c r="V66" s="5" t="e">
        <f>#REF!</f>
        <v>#REF!</v>
      </c>
      <c r="W66" s="5" t="e">
        <f>#REF!</f>
        <v>#REF!</v>
      </c>
      <c r="X66" s="6" t="str">
        <f>IFERROR(VLOOKUP(ROWS($X$2:X66),$U$2:$W$151,2,FALSE),"")</f>
        <v/>
      </c>
      <c r="Y66" s="6" t="str">
        <f>IFERROR(VLOOKUP(ROWS($X$2:X66),$U$2:$W$151,3,FALSE),"")</f>
        <v/>
      </c>
      <c r="AA66" s="5">
        <f>IF(ISNUMBER(SEARCH(#REF!,AB66)),MAX($AA$1:AA65)+1,0)</f>
        <v>0</v>
      </c>
      <c r="AB66" s="5" t="e">
        <f>#REF!</f>
        <v>#REF!</v>
      </c>
      <c r="AC66" s="5" t="e">
        <f>#REF!</f>
        <v>#REF!</v>
      </c>
      <c r="AD66" s="6" t="str">
        <f>IFERROR(VLOOKUP(ROWS($AD$2:AD66),$AA$2:$AC$151,2,FALSE),"")</f>
        <v/>
      </c>
      <c r="AE66" s="6" t="str">
        <f>IFERROR(VLOOKUP(ROWS($AD$2:AD66),$AA$2:$AC$151,3,FALSE),"")</f>
        <v/>
      </c>
      <c r="AG66" s="7">
        <f>IF(ISNUMBER(SEARCH(#REF!,AH66)),MAX($AG$1:AG65)+1,0)</f>
        <v>0</v>
      </c>
      <c r="AH66" s="7" t="e">
        <f>#REF!</f>
        <v>#REF!</v>
      </c>
      <c r="AI66" s="7" t="e">
        <f>#REF!</f>
        <v>#REF!</v>
      </c>
      <c r="AJ66" s="8" t="str">
        <f>IFERROR(VLOOKUP(ROWS(AJ$2:AJ66),$AG$2:$AI$151,2,FALSE),"")</f>
        <v/>
      </c>
      <c r="AK66" s="8" t="str">
        <f>IFERROR(VLOOKUP(ROWS($AJ$2:AJ66),$AG$2:$AI$151,3,FALSE),"")</f>
        <v/>
      </c>
      <c r="AM66" s="7">
        <f>IF(ISNUMBER(SEARCH(#REF!,AN66)),MAX($AM$1:AM65)+1,0)</f>
        <v>0</v>
      </c>
      <c r="AN66" s="7" t="e">
        <f>#REF!</f>
        <v>#REF!</v>
      </c>
      <c r="AO66" s="7" t="e">
        <f>#REF!</f>
        <v>#REF!</v>
      </c>
      <c r="AP66" s="8" t="str">
        <f>IFERROR(VLOOKUP(ROWS($AP$2:AP66),$AM$2:$AO$151,2,FALSE),"")</f>
        <v/>
      </c>
      <c r="AQ66" s="8" t="str">
        <f>IFERROR(VLOOKUP(ROWS($AP$2:AP66),$AM$2:$AO$151,3,FALSE),"")</f>
        <v/>
      </c>
      <c r="AS66" s="9">
        <f>IF(ISNUMBER(SEARCH(#REF!,AT66)),MAX($AS$1:AS65)+1,0)</f>
        <v>0</v>
      </c>
      <c r="AT66" s="9" t="e">
        <f>#REF!</f>
        <v>#REF!</v>
      </c>
      <c r="AU66" s="9" t="e">
        <f>#REF!</f>
        <v>#REF!</v>
      </c>
      <c r="AV66" s="10" t="str">
        <f>IFERROR(VLOOKUP(ROWS(AV$2:AV66),$AS$2:$AU$151,2,FALSE),"")</f>
        <v/>
      </c>
      <c r="AW66" s="10" t="str">
        <f>IFERROR(VLOOKUP(ROWS($AV$2:AV66),$AS$2:$AU$151,3,FALSE),"")</f>
        <v/>
      </c>
      <c r="AY66" s="9">
        <f>IF(ISNUMBER(SEARCH(#REF!,AZ66)),MAX($AY$1:AY65)+1,0)</f>
        <v>0</v>
      </c>
      <c r="AZ66" s="9" t="e">
        <f>#REF!</f>
        <v>#REF!</v>
      </c>
      <c r="BA66" s="9" t="e">
        <f>#REF!</f>
        <v>#REF!</v>
      </c>
      <c r="BB66" s="10" t="str">
        <f>IFERROR(VLOOKUP(ROWS($BB$2:BB66),$AY$2:$BA$151,2,FALSE),"")</f>
        <v/>
      </c>
      <c r="BC66" s="10" t="str">
        <f>IFERROR(VLOOKUP(ROWS($BB$2:BB66),$AY$2:$BA$151,3,FALSE),"")</f>
        <v/>
      </c>
    </row>
    <row r="67" spans="3:55" x14ac:dyDescent="0.25">
      <c r="C67" s="3">
        <f>IF(ISNUMBER(SEARCH(#REF!,D67)),MAX($C$1:C66)+1,0)</f>
        <v>0</v>
      </c>
      <c r="D67" s="3" t="e">
        <f>#REF!</f>
        <v>#REF!</v>
      </c>
      <c r="E67" s="3" t="e">
        <f>#REF!</f>
        <v>#REF!</v>
      </c>
      <c r="F67" s="4" t="str">
        <f>IFERROR(VLOOKUP(ROWS($F$2:F67),$C$2:$E$151,2,FALSE),"")</f>
        <v/>
      </c>
      <c r="G67" s="4" t="str">
        <f>IFERROR(VLOOKUP(ROWS($F$2:F67),$C$2:$E$151,3,FALSE),"")</f>
        <v/>
      </c>
      <c r="I67" s="3">
        <f>IF(ISNUMBER(SEARCH(#REF!,J67)),MAX($I$1:I66)+1,0)</f>
        <v>0</v>
      </c>
      <c r="J67" s="3" t="e">
        <f>#REF!</f>
        <v>#REF!</v>
      </c>
      <c r="K67" s="3" t="e">
        <f>#REF!</f>
        <v>#REF!</v>
      </c>
      <c r="L67" s="4" t="str">
        <f>IFERROR(VLOOKUP(ROWS($L$2:L67),$I$2:$K$151,2,FALSE),"")</f>
        <v/>
      </c>
      <c r="M67" s="4" t="str">
        <f>IFERROR(VLOOKUP(ROWS($L$2:L67),$I$2:$K$151,3,FALSE),"")</f>
        <v/>
      </c>
      <c r="O67" s="3">
        <f>IF(ISNUMBER(SEARCH(#REF!,P67)),MAX($O$1:O66)+1,0)</f>
        <v>0</v>
      </c>
      <c r="P67" s="3" t="e">
        <f>#REF!</f>
        <v>#REF!</v>
      </c>
      <c r="Q67" s="3" t="e">
        <f>#REF!</f>
        <v>#REF!</v>
      </c>
      <c r="R67" s="4" t="str">
        <f>IFERROR(VLOOKUP(ROWS($R$2:R67),$O$2:$Q$151,2,FALSE),"")</f>
        <v/>
      </c>
      <c r="S67" s="4" t="str">
        <f>IFERROR(VLOOKUP(ROWS($R$2:R67),$O$2:$Q$151,3,FALSE),"")</f>
        <v/>
      </c>
      <c r="U67" s="5">
        <f>IF(ISNUMBER(SEARCH(#REF!,V67)),MAX($U$1:U66)+1,0)</f>
        <v>0</v>
      </c>
      <c r="V67" s="5" t="e">
        <f>#REF!</f>
        <v>#REF!</v>
      </c>
      <c r="W67" s="5" t="e">
        <f>#REF!</f>
        <v>#REF!</v>
      </c>
      <c r="X67" s="6" t="str">
        <f>IFERROR(VLOOKUP(ROWS($X$2:X67),$U$2:$W$151,2,FALSE),"")</f>
        <v/>
      </c>
      <c r="Y67" s="6" t="str">
        <f>IFERROR(VLOOKUP(ROWS($X$2:X67),$U$2:$W$151,3,FALSE),"")</f>
        <v/>
      </c>
      <c r="AA67" s="5">
        <f>IF(ISNUMBER(SEARCH(#REF!,AB67)),MAX($AA$1:AA66)+1,0)</f>
        <v>0</v>
      </c>
      <c r="AB67" s="5" t="e">
        <f>#REF!</f>
        <v>#REF!</v>
      </c>
      <c r="AC67" s="5" t="e">
        <f>#REF!</f>
        <v>#REF!</v>
      </c>
      <c r="AD67" s="6" t="str">
        <f>IFERROR(VLOOKUP(ROWS($AD$2:AD67),$AA$2:$AC$151,2,FALSE),"")</f>
        <v/>
      </c>
      <c r="AE67" s="6" t="str">
        <f>IFERROR(VLOOKUP(ROWS($AD$2:AD67),$AA$2:$AC$151,3,FALSE),"")</f>
        <v/>
      </c>
      <c r="AG67" s="7">
        <f>IF(ISNUMBER(SEARCH(#REF!,AH67)),MAX($AG$1:AG66)+1,0)</f>
        <v>0</v>
      </c>
      <c r="AH67" s="7" t="e">
        <f>#REF!</f>
        <v>#REF!</v>
      </c>
      <c r="AI67" s="7" t="e">
        <f>#REF!</f>
        <v>#REF!</v>
      </c>
      <c r="AJ67" s="8" t="str">
        <f>IFERROR(VLOOKUP(ROWS(AJ$2:AJ67),$AG$2:$AI$151,2,FALSE),"")</f>
        <v/>
      </c>
      <c r="AK67" s="8" t="str">
        <f>IFERROR(VLOOKUP(ROWS($AJ$2:AJ67),$AG$2:$AI$151,3,FALSE),"")</f>
        <v/>
      </c>
      <c r="AM67" s="7">
        <f>IF(ISNUMBER(SEARCH(#REF!,AN67)),MAX($AM$1:AM66)+1,0)</f>
        <v>0</v>
      </c>
      <c r="AN67" s="7" t="e">
        <f>#REF!</f>
        <v>#REF!</v>
      </c>
      <c r="AO67" s="7" t="e">
        <f>#REF!</f>
        <v>#REF!</v>
      </c>
      <c r="AP67" s="8" t="str">
        <f>IFERROR(VLOOKUP(ROWS($AP$2:AP67),$AM$2:$AO$151,2,FALSE),"")</f>
        <v/>
      </c>
      <c r="AQ67" s="8" t="str">
        <f>IFERROR(VLOOKUP(ROWS($AP$2:AP67),$AM$2:$AO$151,3,FALSE),"")</f>
        <v/>
      </c>
      <c r="AS67" s="9">
        <f>IF(ISNUMBER(SEARCH(#REF!,AT67)),MAX($AS$1:AS66)+1,0)</f>
        <v>0</v>
      </c>
      <c r="AT67" s="9" t="e">
        <f>#REF!</f>
        <v>#REF!</v>
      </c>
      <c r="AU67" s="9" t="e">
        <f>#REF!</f>
        <v>#REF!</v>
      </c>
      <c r="AV67" s="10" t="str">
        <f>IFERROR(VLOOKUP(ROWS(AV$2:AV67),$AS$2:$AU$151,2,FALSE),"")</f>
        <v/>
      </c>
      <c r="AW67" s="10" t="str">
        <f>IFERROR(VLOOKUP(ROWS($AV$2:AV67),$AS$2:$AU$151,3,FALSE),"")</f>
        <v/>
      </c>
      <c r="AY67" s="9">
        <f>IF(ISNUMBER(SEARCH(#REF!,AZ67)),MAX($AY$1:AY66)+1,0)</f>
        <v>0</v>
      </c>
      <c r="AZ67" s="9" t="e">
        <f>#REF!</f>
        <v>#REF!</v>
      </c>
      <c r="BA67" s="9" t="e">
        <f>#REF!</f>
        <v>#REF!</v>
      </c>
      <c r="BB67" s="10" t="str">
        <f>IFERROR(VLOOKUP(ROWS($BB$2:BB67),$AY$2:$BA$151,2,FALSE),"")</f>
        <v/>
      </c>
      <c r="BC67" s="10" t="str">
        <f>IFERROR(VLOOKUP(ROWS($BB$2:BB67),$AY$2:$BA$151,3,FALSE),"")</f>
        <v/>
      </c>
    </row>
    <row r="68" spans="3:55" x14ac:dyDescent="0.25">
      <c r="C68" s="3">
        <f>IF(ISNUMBER(SEARCH(#REF!,D68)),MAX($C$1:C67)+1,0)</f>
        <v>0</v>
      </c>
      <c r="D68" s="3" t="e">
        <f>#REF!</f>
        <v>#REF!</v>
      </c>
      <c r="E68" s="3" t="e">
        <f>#REF!</f>
        <v>#REF!</v>
      </c>
      <c r="F68" s="4" t="str">
        <f>IFERROR(VLOOKUP(ROWS($F$2:F68),$C$2:$E$151,2,FALSE),"")</f>
        <v/>
      </c>
      <c r="G68" s="4" t="str">
        <f>IFERROR(VLOOKUP(ROWS($F$2:F68),$C$2:$E$151,3,FALSE),"")</f>
        <v/>
      </c>
      <c r="I68" s="3">
        <f>IF(ISNUMBER(SEARCH(#REF!,J68)),MAX($I$1:I67)+1,0)</f>
        <v>0</v>
      </c>
      <c r="J68" s="3" t="e">
        <f>#REF!</f>
        <v>#REF!</v>
      </c>
      <c r="K68" s="3" t="e">
        <f>#REF!</f>
        <v>#REF!</v>
      </c>
      <c r="L68" s="4" t="str">
        <f>IFERROR(VLOOKUP(ROWS($L$2:L68),$I$2:$K$151,2,FALSE),"")</f>
        <v/>
      </c>
      <c r="M68" s="4" t="str">
        <f>IFERROR(VLOOKUP(ROWS($L$2:L68),$I$2:$K$151,3,FALSE),"")</f>
        <v/>
      </c>
      <c r="O68" s="3">
        <f>IF(ISNUMBER(SEARCH(#REF!,P68)),MAX($O$1:O67)+1,0)</f>
        <v>0</v>
      </c>
      <c r="P68" s="3" t="e">
        <f>#REF!</f>
        <v>#REF!</v>
      </c>
      <c r="Q68" s="3" t="e">
        <f>#REF!</f>
        <v>#REF!</v>
      </c>
      <c r="R68" s="4" t="str">
        <f>IFERROR(VLOOKUP(ROWS($R$2:R68),$O$2:$Q$151,2,FALSE),"")</f>
        <v/>
      </c>
      <c r="S68" s="4" t="str">
        <f>IFERROR(VLOOKUP(ROWS($R$2:R68),$O$2:$Q$151,3,FALSE),"")</f>
        <v/>
      </c>
      <c r="U68" s="5">
        <f>IF(ISNUMBER(SEARCH(#REF!,V68)),MAX($U$1:U67)+1,0)</f>
        <v>0</v>
      </c>
      <c r="V68" s="5" t="e">
        <f>#REF!</f>
        <v>#REF!</v>
      </c>
      <c r="W68" s="5" t="e">
        <f>#REF!</f>
        <v>#REF!</v>
      </c>
      <c r="X68" s="6" t="str">
        <f>IFERROR(VLOOKUP(ROWS($X$2:X68),$U$2:$W$151,2,FALSE),"")</f>
        <v/>
      </c>
      <c r="Y68" s="6" t="str">
        <f>IFERROR(VLOOKUP(ROWS($X$2:X68),$U$2:$W$151,3,FALSE),"")</f>
        <v/>
      </c>
      <c r="AA68" s="5">
        <f>IF(ISNUMBER(SEARCH(#REF!,AB68)),MAX($AA$1:AA67)+1,0)</f>
        <v>0</v>
      </c>
      <c r="AB68" s="5" t="e">
        <f>#REF!</f>
        <v>#REF!</v>
      </c>
      <c r="AC68" s="5" t="e">
        <f>#REF!</f>
        <v>#REF!</v>
      </c>
      <c r="AD68" s="6" t="str">
        <f>IFERROR(VLOOKUP(ROWS($AD$2:AD68),$AA$2:$AC$151,2,FALSE),"")</f>
        <v/>
      </c>
      <c r="AE68" s="6" t="str">
        <f>IFERROR(VLOOKUP(ROWS($AD$2:AD68),$AA$2:$AC$151,3,FALSE),"")</f>
        <v/>
      </c>
      <c r="AG68" s="7">
        <f>IF(ISNUMBER(SEARCH(#REF!,AH68)),MAX($AG$1:AG67)+1,0)</f>
        <v>0</v>
      </c>
      <c r="AH68" s="7" t="e">
        <f>#REF!</f>
        <v>#REF!</v>
      </c>
      <c r="AI68" s="7" t="e">
        <f>#REF!</f>
        <v>#REF!</v>
      </c>
      <c r="AJ68" s="8" t="str">
        <f>IFERROR(VLOOKUP(ROWS(AJ$2:AJ68),$AG$2:$AI$151,2,FALSE),"")</f>
        <v/>
      </c>
      <c r="AK68" s="8" t="str">
        <f>IFERROR(VLOOKUP(ROWS($AJ$2:AJ68),$AG$2:$AI$151,3,FALSE),"")</f>
        <v/>
      </c>
      <c r="AM68" s="7">
        <f>IF(ISNUMBER(SEARCH(#REF!,AN68)),MAX($AM$1:AM67)+1,0)</f>
        <v>0</v>
      </c>
      <c r="AN68" s="7" t="e">
        <f>#REF!</f>
        <v>#REF!</v>
      </c>
      <c r="AO68" s="7" t="e">
        <f>#REF!</f>
        <v>#REF!</v>
      </c>
      <c r="AP68" s="8" t="str">
        <f>IFERROR(VLOOKUP(ROWS($AP$2:AP68),$AM$2:$AO$151,2,FALSE),"")</f>
        <v/>
      </c>
      <c r="AQ68" s="8" t="str">
        <f>IFERROR(VLOOKUP(ROWS($AP$2:AP68),$AM$2:$AO$151,3,FALSE),"")</f>
        <v/>
      </c>
      <c r="AS68" s="9">
        <f>IF(ISNUMBER(SEARCH(#REF!,AT68)),MAX($AS$1:AS67)+1,0)</f>
        <v>0</v>
      </c>
      <c r="AT68" s="9" t="e">
        <f>#REF!</f>
        <v>#REF!</v>
      </c>
      <c r="AU68" s="9" t="e">
        <f>#REF!</f>
        <v>#REF!</v>
      </c>
      <c r="AV68" s="10" t="str">
        <f>IFERROR(VLOOKUP(ROWS(AV$2:AV68),$AS$2:$AU$151,2,FALSE),"")</f>
        <v/>
      </c>
      <c r="AW68" s="10" t="str">
        <f>IFERROR(VLOOKUP(ROWS($AV$2:AV68),$AS$2:$AU$151,3,FALSE),"")</f>
        <v/>
      </c>
      <c r="AY68" s="9">
        <f>IF(ISNUMBER(SEARCH(#REF!,AZ68)),MAX($AY$1:AY67)+1,0)</f>
        <v>0</v>
      </c>
      <c r="AZ68" s="9" t="e">
        <f>#REF!</f>
        <v>#REF!</v>
      </c>
      <c r="BA68" s="9" t="e">
        <f>#REF!</f>
        <v>#REF!</v>
      </c>
      <c r="BB68" s="10" t="str">
        <f>IFERROR(VLOOKUP(ROWS($BB$2:BB68),$AY$2:$BA$151,2,FALSE),"")</f>
        <v/>
      </c>
      <c r="BC68" s="10" t="str">
        <f>IFERROR(VLOOKUP(ROWS($BB$2:BB68),$AY$2:$BA$151,3,FALSE),"")</f>
        <v/>
      </c>
    </row>
    <row r="69" spans="3:55" x14ac:dyDescent="0.25">
      <c r="C69" s="3">
        <f>IF(ISNUMBER(SEARCH(#REF!,D69)),MAX($C$1:C68)+1,0)</f>
        <v>0</v>
      </c>
      <c r="D69" s="3" t="e">
        <f>#REF!</f>
        <v>#REF!</v>
      </c>
      <c r="E69" s="3" t="e">
        <f>#REF!</f>
        <v>#REF!</v>
      </c>
      <c r="F69" s="4" t="str">
        <f>IFERROR(VLOOKUP(ROWS($F$2:F69),$C$2:$E$151,2,FALSE),"")</f>
        <v/>
      </c>
      <c r="G69" s="4" t="str">
        <f>IFERROR(VLOOKUP(ROWS($F$2:F69),$C$2:$E$151,3,FALSE),"")</f>
        <v/>
      </c>
      <c r="I69" s="3">
        <f>IF(ISNUMBER(SEARCH(#REF!,J69)),MAX($I$1:I68)+1,0)</f>
        <v>0</v>
      </c>
      <c r="J69" s="3" t="e">
        <f>#REF!</f>
        <v>#REF!</v>
      </c>
      <c r="K69" s="3" t="e">
        <f>#REF!</f>
        <v>#REF!</v>
      </c>
      <c r="L69" s="4" t="str">
        <f>IFERROR(VLOOKUP(ROWS($L$2:L69),$I$2:$K$151,2,FALSE),"")</f>
        <v/>
      </c>
      <c r="M69" s="4" t="str">
        <f>IFERROR(VLOOKUP(ROWS($L$2:L69),$I$2:$K$151,3,FALSE),"")</f>
        <v/>
      </c>
      <c r="O69" s="3">
        <f>IF(ISNUMBER(SEARCH(#REF!,P69)),MAX($O$1:O68)+1,0)</f>
        <v>0</v>
      </c>
      <c r="P69" s="3" t="e">
        <f>#REF!</f>
        <v>#REF!</v>
      </c>
      <c r="Q69" s="3" t="e">
        <f>#REF!</f>
        <v>#REF!</v>
      </c>
      <c r="R69" s="4" t="str">
        <f>IFERROR(VLOOKUP(ROWS($R$2:R69),$O$2:$Q$151,2,FALSE),"")</f>
        <v/>
      </c>
      <c r="S69" s="4" t="str">
        <f>IFERROR(VLOOKUP(ROWS($R$2:R69),$O$2:$Q$151,3,FALSE),"")</f>
        <v/>
      </c>
      <c r="U69" s="5">
        <f>IF(ISNUMBER(SEARCH(#REF!,V69)),MAX($U$1:U68)+1,0)</f>
        <v>0</v>
      </c>
      <c r="V69" s="5" t="e">
        <f>#REF!</f>
        <v>#REF!</v>
      </c>
      <c r="W69" s="5" t="e">
        <f>#REF!</f>
        <v>#REF!</v>
      </c>
      <c r="X69" s="6" t="str">
        <f>IFERROR(VLOOKUP(ROWS($X$2:X69),$U$2:$W$151,2,FALSE),"")</f>
        <v/>
      </c>
      <c r="Y69" s="6" t="str">
        <f>IFERROR(VLOOKUP(ROWS($X$2:X69),$U$2:$W$151,3,FALSE),"")</f>
        <v/>
      </c>
      <c r="AA69" s="5">
        <f>IF(ISNUMBER(SEARCH(#REF!,AB69)),MAX($AA$1:AA68)+1,0)</f>
        <v>0</v>
      </c>
      <c r="AB69" s="5" t="e">
        <f>#REF!</f>
        <v>#REF!</v>
      </c>
      <c r="AC69" s="5" t="e">
        <f>#REF!</f>
        <v>#REF!</v>
      </c>
      <c r="AD69" s="6" t="str">
        <f>IFERROR(VLOOKUP(ROWS($AD$2:AD69),$AA$2:$AC$151,2,FALSE),"")</f>
        <v/>
      </c>
      <c r="AE69" s="6" t="str">
        <f>IFERROR(VLOOKUP(ROWS($AD$2:AD69),$AA$2:$AC$151,3,FALSE),"")</f>
        <v/>
      </c>
      <c r="AG69" s="7">
        <f>IF(ISNUMBER(SEARCH(#REF!,AH69)),MAX($AG$1:AG68)+1,0)</f>
        <v>0</v>
      </c>
      <c r="AH69" s="7" t="e">
        <f>#REF!</f>
        <v>#REF!</v>
      </c>
      <c r="AI69" s="7" t="e">
        <f>#REF!</f>
        <v>#REF!</v>
      </c>
      <c r="AJ69" s="8" t="str">
        <f>IFERROR(VLOOKUP(ROWS(AJ$2:AJ69),$AG$2:$AI$151,2,FALSE),"")</f>
        <v/>
      </c>
      <c r="AK69" s="8" t="str">
        <f>IFERROR(VLOOKUP(ROWS($AJ$2:AJ69),$AG$2:$AI$151,3,FALSE),"")</f>
        <v/>
      </c>
      <c r="AM69" s="7">
        <f>IF(ISNUMBER(SEARCH(#REF!,AN69)),MAX($AM$1:AM68)+1,0)</f>
        <v>0</v>
      </c>
      <c r="AN69" s="7" t="e">
        <f>#REF!</f>
        <v>#REF!</v>
      </c>
      <c r="AO69" s="7" t="e">
        <f>#REF!</f>
        <v>#REF!</v>
      </c>
      <c r="AP69" s="8" t="str">
        <f>IFERROR(VLOOKUP(ROWS($AP$2:AP69),$AM$2:$AO$151,2,FALSE),"")</f>
        <v/>
      </c>
      <c r="AQ69" s="8" t="str">
        <f>IFERROR(VLOOKUP(ROWS($AP$2:AP69),$AM$2:$AO$151,3,FALSE),"")</f>
        <v/>
      </c>
      <c r="AS69" s="9">
        <f>IF(ISNUMBER(SEARCH(#REF!,AT69)),MAX($AS$1:AS68)+1,0)</f>
        <v>0</v>
      </c>
      <c r="AT69" s="9" t="e">
        <f>#REF!</f>
        <v>#REF!</v>
      </c>
      <c r="AU69" s="9" t="e">
        <f>#REF!</f>
        <v>#REF!</v>
      </c>
      <c r="AV69" s="10" t="str">
        <f>IFERROR(VLOOKUP(ROWS(AV$2:AV69),$AS$2:$AU$151,2,FALSE),"")</f>
        <v/>
      </c>
      <c r="AW69" s="10" t="str">
        <f>IFERROR(VLOOKUP(ROWS($AV$2:AV69),$AS$2:$AU$151,3,FALSE),"")</f>
        <v/>
      </c>
      <c r="AY69" s="9">
        <f>IF(ISNUMBER(SEARCH(#REF!,AZ69)),MAX($AY$1:AY68)+1,0)</f>
        <v>0</v>
      </c>
      <c r="AZ69" s="9" t="e">
        <f>#REF!</f>
        <v>#REF!</v>
      </c>
      <c r="BA69" s="9" t="e">
        <f>#REF!</f>
        <v>#REF!</v>
      </c>
      <c r="BB69" s="10" t="str">
        <f>IFERROR(VLOOKUP(ROWS($BB$2:BB69),$AY$2:$BA$151,2,FALSE),"")</f>
        <v/>
      </c>
      <c r="BC69" s="10" t="str">
        <f>IFERROR(VLOOKUP(ROWS($BB$2:BB69),$AY$2:$BA$151,3,FALSE),"")</f>
        <v/>
      </c>
    </row>
    <row r="70" spans="3:55" x14ac:dyDescent="0.25">
      <c r="C70" s="3">
        <f>IF(ISNUMBER(SEARCH(#REF!,D70)),MAX($C$1:C69)+1,0)</f>
        <v>0</v>
      </c>
      <c r="D70" s="3" t="e">
        <f>#REF!</f>
        <v>#REF!</v>
      </c>
      <c r="E70" s="3" t="e">
        <f>#REF!</f>
        <v>#REF!</v>
      </c>
      <c r="F70" s="4" t="str">
        <f>IFERROR(VLOOKUP(ROWS($F$2:F70),$C$2:$E$151,2,FALSE),"")</f>
        <v/>
      </c>
      <c r="G70" s="4" t="str">
        <f>IFERROR(VLOOKUP(ROWS($F$2:F70),$C$2:$E$151,3,FALSE),"")</f>
        <v/>
      </c>
      <c r="I70" s="3">
        <f>IF(ISNUMBER(SEARCH(#REF!,J70)),MAX($I$1:I69)+1,0)</f>
        <v>0</v>
      </c>
      <c r="J70" s="3" t="e">
        <f>#REF!</f>
        <v>#REF!</v>
      </c>
      <c r="K70" s="3" t="e">
        <f>#REF!</f>
        <v>#REF!</v>
      </c>
      <c r="L70" s="4" t="str">
        <f>IFERROR(VLOOKUP(ROWS($L$2:L70),$I$2:$K$151,2,FALSE),"")</f>
        <v/>
      </c>
      <c r="M70" s="4" t="str">
        <f>IFERROR(VLOOKUP(ROWS($L$2:L70),$I$2:$K$151,3,FALSE),"")</f>
        <v/>
      </c>
      <c r="O70" s="3">
        <f>IF(ISNUMBER(SEARCH(#REF!,P70)),MAX($O$1:O69)+1,0)</f>
        <v>0</v>
      </c>
      <c r="P70" s="3" t="e">
        <f>#REF!</f>
        <v>#REF!</v>
      </c>
      <c r="Q70" s="3" t="e">
        <f>#REF!</f>
        <v>#REF!</v>
      </c>
      <c r="R70" s="4" t="str">
        <f>IFERROR(VLOOKUP(ROWS($R$2:R70),$O$2:$Q$151,2,FALSE),"")</f>
        <v/>
      </c>
      <c r="S70" s="4" t="str">
        <f>IFERROR(VLOOKUP(ROWS($R$2:R70),$O$2:$Q$151,3,FALSE),"")</f>
        <v/>
      </c>
      <c r="U70" s="5">
        <f>IF(ISNUMBER(SEARCH(#REF!,V70)),MAX($U$1:U69)+1,0)</f>
        <v>0</v>
      </c>
      <c r="V70" s="5" t="e">
        <f>#REF!</f>
        <v>#REF!</v>
      </c>
      <c r="W70" s="5" t="e">
        <f>#REF!</f>
        <v>#REF!</v>
      </c>
      <c r="X70" s="6" t="str">
        <f>IFERROR(VLOOKUP(ROWS($X$2:X70),$U$2:$W$151,2,FALSE),"")</f>
        <v/>
      </c>
      <c r="Y70" s="6" t="str">
        <f>IFERROR(VLOOKUP(ROWS($X$2:X70),$U$2:$W$151,3,FALSE),"")</f>
        <v/>
      </c>
      <c r="AA70" s="5">
        <f>IF(ISNUMBER(SEARCH(#REF!,AB70)),MAX($AA$1:AA69)+1,0)</f>
        <v>0</v>
      </c>
      <c r="AB70" s="5" t="e">
        <f>#REF!</f>
        <v>#REF!</v>
      </c>
      <c r="AC70" s="5" t="e">
        <f>#REF!</f>
        <v>#REF!</v>
      </c>
      <c r="AD70" s="6" t="str">
        <f>IFERROR(VLOOKUP(ROWS($AD$2:AD70),$AA$2:$AC$151,2,FALSE),"")</f>
        <v/>
      </c>
      <c r="AE70" s="6" t="str">
        <f>IFERROR(VLOOKUP(ROWS($AD$2:AD70),$AA$2:$AC$151,3,FALSE),"")</f>
        <v/>
      </c>
      <c r="AG70" s="7">
        <f>IF(ISNUMBER(SEARCH(#REF!,AH70)),MAX($AG$1:AG69)+1,0)</f>
        <v>0</v>
      </c>
      <c r="AH70" s="7" t="e">
        <f>#REF!</f>
        <v>#REF!</v>
      </c>
      <c r="AI70" s="7" t="e">
        <f>#REF!</f>
        <v>#REF!</v>
      </c>
      <c r="AJ70" s="8" t="str">
        <f>IFERROR(VLOOKUP(ROWS(AJ$2:AJ70),$AG$2:$AI$151,2,FALSE),"")</f>
        <v/>
      </c>
      <c r="AK70" s="8" t="str">
        <f>IFERROR(VLOOKUP(ROWS($AJ$2:AJ70),$AG$2:$AI$151,3,FALSE),"")</f>
        <v/>
      </c>
      <c r="AM70" s="7">
        <f>IF(ISNUMBER(SEARCH(#REF!,AN70)),MAX($AM$1:AM69)+1,0)</f>
        <v>0</v>
      </c>
      <c r="AN70" s="7" t="e">
        <f>#REF!</f>
        <v>#REF!</v>
      </c>
      <c r="AO70" s="7" t="e">
        <f>#REF!</f>
        <v>#REF!</v>
      </c>
      <c r="AP70" s="8" t="str">
        <f>IFERROR(VLOOKUP(ROWS($AP$2:AP70),$AM$2:$AO$151,2,FALSE),"")</f>
        <v/>
      </c>
      <c r="AQ70" s="8" t="str">
        <f>IFERROR(VLOOKUP(ROWS($AP$2:AP70),$AM$2:$AO$151,3,FALSE),"")</f>
        <v/>
      </c>
      <c r="AS70" s="9">
        <f>IF(ISNUMBER(SEARCH(#REF!,AT70)),MAX($AS$1:AS69)+1,0)</f>
        <v>0</v>
      </c>
      <c r="AT70" s="9" t="e">
        <f>#REF!</f>
        <v>#REF!</v>
      </c>
      <c r="AU70" s="9" t="e">
        <f>#REF!</f>
        <v>#REF!</v>
      </c>
      <c r="AV70" s="10" t="str">
        <f>IFERROR(VLOOKUP(ROWS(AV$2:AV70),$AS$2:$AU$151,2,FALSE),"")</f>
        <v/>
      </c>
      <c r="AW70" s="10" t="str">
        <f>IFERROR(VLOOKUP(ROWS($AV$2:AV70),$AS$2:$AU$151,3,FALSE),"")</f>
        <v/>
      </c>
      <c r="AY70" s="9">
        <f>IF(ISNUMBER(SEARCH(#REF!,AZ70)),MAX($AY$1:AY69)+1,0)</f>
        <v>0</v>
      </c>
      <c r="AZ70" s="9" t="e">
        <f>#REF!</f>
        <v>#REF!</v>
      </c>
      <c r="BA70" s="9" t="e">
        <f>#REF!</f>
        <v>#REF!</v>
      </c>
      <c r="BB70" s="10" t="str">
        <f>IFERROR(VLOOKUP(ROWS($BB$2:BB70),$AY$2:$BA$151,2,FALSE),"")</f>
        <v/>
      </c>
      <c r="BC70" s="10" t="str">
        <f>IFERROR(VLOOKUP(ROWS($BB$2:BB70),$AY$2:$BA$151,3,FALSE),"")</f>
        <v/>
      </c>
    </row>
    <row r="71" spans="3:55" x14ac:dyDescent="0.25">
      <c r="C71" s="3">
        <f>IF(ISNUMBER(SEARCH(#REF!,D71)),MAX($C$1:C70)+1,0)</f>
        <v>0</v>
      </c>
      <c r="D71" s="3" t="e">
        <f>#REF!</f>
        <v>#REF!</v>
      </c>
      <c r="E71" s="3" t="e">
        <f>#REF!</f>
        <v>#REF!</v>
      </c>
      <c r="F71" s="4" t="str">
        <f>IFERROR(VLOOKUP(ROWS($F$2:F71),$C$2:$E$151,2,FALSE),"")</f>
        <v/>
      </c>
      <c r="G71" s="4" t="str">
        <f>IFERROR(VLOOKUP(ROWS($F$2:F71),$C$2:$E$151,3,FALSE),"")</f>
        <v/>
      </c>
      <c r="I71" s="3">
        <f>IF(ISNUMBER(SEARCH(#REF!,J71)),MAX($I$1:I70)+1,0)</f>
        <v>0</v>
      </c>
      <c r="J71" s="3" t="e">
        <f>#REF!</f>
        <v>#REF!</v>
      </c>
      <c r="K71" s="3" t="e">
        <f>#REF!</f>
        <v>#REF!</v>
      </c>
      <c r="L71" s="4" t="str">
        <f>IFERROR(VLOOKUP(ROWS($L$2:L71),$I$2:$K$151,2,FALSE),"")</f>
        <v/>
      </c>
      <c r="M71" s="4" t="str">
        <f>IFERROR(VLOOKUP(ROWS($L$2:L71),$I$2:$K$151,3,FALSE),"")</f>
        <v/>
      </c>
      <c r="O71" s="3">
        <f>IF(ISNUMBER(SEARCH(#REF!,P71)),MAX($O$1:O70)+1,0)</f>
        <v>0</v>
      </c>
      <c r="P71" s="3" t="e">
        <f>#REF!</f>
        <v>#REF!</v>
      </c>
      <c r="Q71" s="3" t="e">
        <f>#REF!</f>
        <v>#REF!</v>
      </c>
      <c r="R71" s="4" t="str">
        <f>IFERROR(VLOOKUP(ROWS($R$2:R71),$O$2:$Q$151,2,FALSE),"")</f>
        <v/>
      </c>
      <c r="S71" s="4" t="str">
        <f>IFERROR(VLOOKUP(ROWS($R$2:R71),$O$2:$Q$151,3,FALSE),"")</f>
        <v/>
      </c>
      <c r="U71" s="5">
        <f>IF(ISNUMBER(SEARCH(#REF!,V71)),MAX($U$1:U70)+1,0)</f>
        <v>0</v>
      </c>
      <c r="V71" s="5" t="e">
        <f>#REF!</f>
        <v>#REF!</v>
      </c>
      <c r="W71" s="5" t="e">
        <f>#REF!</f>
        <v>#REF!</v>
      </c>
      <c r="X71" s="6" t="str">
        <f>IFERROR(VLOOKUP(ROWS($X$2:X71),$U$2:$W$151,2,FALSE),"")</f>
        <v/>
      </c>
      <c r="Y71" s="6" t="str">
        <f>IFERROR(VLOOKUP(ROWS($X$2:X71),$U$2:$W$151,3,FALSE),"")</f>
        <v/>
      </c>
      <c r="AA71" s="5">
        <f>IF(ISNUMBER(SEARCH(#REF!,AB71)),MAX($AA$1:AA70)+1,0)</f>
        <v>0</v>
      </c>
      <c r="AB71" s="5" t="e">
        <f>#REF!</f>
        <v>#REF!</v>
      </c>
      <c r="AC71" s="5" t="e">
        <f>#REF!</f>
        <v>#REF!</v>
      </c>
      <c r="AD71" s="6" t="str">
        <f>IFERROR(VLOOKUP(ROWS($AD$2:AD71),$AA$2:$AC$151,2,FALSE),"")</f>
        <v/>
      </c>
      <c r="AE71" s="6" t="str">
        <f>IFERROR(VLOOKUP(ROWS($AD$2:AD71),$AA$2:$AC$151,3,FALSE),"")</f>
        <v/>
      </c>
      <c r="AG71" s="7">
        <f>IF(ISNUMBER(SEARCH(#REF!,AH71)),MAX($AG$1:AG70)+1,0)</f>
        <v>0</v>
      </c>
      <c r="AH71" s="7" t="e">
        <f>#REF!</f>
        <v>#REF!</v>
      </c>
      <c r="AI71" s="7" t="e">
        <f>#REF!</f>
        <v>#REF!</v>
      </c>
      <c r="AJ71" s="8" t="str">
        <f>IFERROR(VLOOKUP(ROWS(AJ$2:AJ71),$AG$2:$AI$151,2,FALSE),"")</f>
        <v/>
      </c>
      <c r="AK71" s="8" t="str">
        <f>IFERROR(VLOOKUP(ROWS($AJ$2:AJ71),$AG$2:$AI$151,3,FALSE),"")</f>
        <v/>
      </c>
      <c r="AM71" s="7">
        <f>IF(ISNUMBER(SEARCH(#REF!,AN71)),MAX($AM$1:AM70)+1,0)</f>
        <v>0</v>
      </c>
      <c r="AN71" s="7" t="e">
        <f>#REF!</f>
        <v>#REF!</v>
      </c>
      <c r="AO71" s="7" t="e">
        <f>#REF!</f>
        <v>#REF!</v>
      </c>
      <c r="AP71" s="8" t="str">
        <f>IFERROR(VLOOKUP(ROWS($AP$2:AP71),$AM$2:$AO$151,2,FALSE),"")</f>
        <v/>
      </c>
      <c r="AQ71" s="8" t="str">
        <f>IFERROR(VLOOKUP(ROWS($AP$2:AP71),$AM$2:$AO$151,3,FALSE),"")</f>
        <v/>
      </c>
      <c r="AS71" s="9">
        <f>IF(ISNUMBER(SEARCH(#REF!,AT71)),MAX($AS$1:AS70)+1,0)</f>
        <v>0</v>
      </c>
      <c r="AT71" s="9" t="e">
        <f>#REF!</f>
        <v>#REF!</v>
      </c>
      <c r="AU71" s="9" t="e">
        <f>#REF!</f>
        <v>#REF!</v>
      </c>
      <c r="AV71" s="10" t="str">
        <f>IFERROR(VLOOKUP(ROWS(AV$2:AV71),$AS$2:$AU$151,2,FALSE),"")</f>
        <v/>
      </c>
      <c r="AW71" s="10" t="str">
        <f>IFERROR(VLOOKUP(ROWS($AV$2:AV71),$AS$2:$AU$151,3,FALSE),"")</f>
        <v/>
      </c>
      <c r="AY71" s="9">
        <f>IF(ISNUMBER(SEARCH(#REF!,AZ71)),MAX($AY$1:AY70)+1,0)</f>
        <v>0</v>
      </c>
      <c r="AZ71" s="9" t="e">
        <f>#REF!</f>
        <v>#REF!</v>
      </c>
      <c r="BA71" s="9" t="e">
        <f>#REF!</f>
        <v>#REF!</v>
      </c>
      <c r="BB71" s="10" t="str">
        <f>IFERROR(VLOOKUP(ROWS($BB$2:BB71),$AY$2:$BA$151,2,FALSE),"")</f>
        <v/>
      </c>
      <c r="BC71" s="10" t="str">
        <f>IFERROR(VLOOKUP(ROWS($BB$2:BB71),$AY$2:$BA$151,3,FALSE),"")</f>
        <v/>
      </c>
    </row>
    <row r="72" spans="3:55" x14ac:dyDescent="0.25">
      <c r="C72" s="3">
        <f>IF(ISNUMBER(SEARCH(#REF!,D72)),MAX($C$1:C71)+1,0)</f>
        <v>0</v>
      </c>
      <c r="D72" s="3" t="e">
        <f>#REF!</f>
        <v>#REF!</v>
      </c>
      <c r="E72" s="3" t="e">
        <f>#REF!</f>
        <v>#REF!</v>
      </c>
      <c r="F72" s="4" t="str">
        <f>IFERROR(VLOOKUP(ROWS($F$2:F72),$C$2:$E$151,2,FALSE),"")</f>
        <v/>
      </c>
      <c r="G72" s="4" t="str">
        <f>IFERROR(VLOOKUP(ROWS($F$2:F72),$C$2:$E$151,3,FALSE),"")</f>
        <v/>
      </c>
      <c r="I72" s="3">
        <f>IF(ISNUMBER(SEARCH(#REF!,J72)),MAX($I$1:I71)+1,0)</f>
        <v>0</v>
      </c>
      <c r="J72" s="3" t="e">
        <f>#REF!</f>
        <v>#REF!</v>
      </c>
      <c r="K72" s="3" t="e">
        <f>#REF!</f>
        <v>#REF!</v>
      </c>
      <c r="L72" s="4" t="str">
        <f>IFERROR(VLOOKUP(ROWS($L$2:L72),$I$2:$K$151,2,FALSE),"")</f>
        <v/>
      </c>
      <c r="M72" s="4" t="str">
        <f>IFERROR(VLOOKUP(ROWS($L$2:L72),$I$2:$K$151,3,FALSE),"")</f>
        <v/>
      </c>
      <c r="O72" s="3">
        <f>IF(ISNUMBER(SEARCH(#REF!,P72)),MAX($O$1:O71)+1,0)</f>
        <v>0</v>
      </c>
      <c r="P72" s="3" t="e">
        <f>#REF!</f>
        <v>#REF!</v>
      </c>
      <c r="Q72" s="3" t="e">
        <f>#REF!</f>
        <v>#REF!</v>
      </c>
      <c r="R72" s="4" t="str">
        <f>IFERROR(VLOOKUP(ROWS($R$2:R72),$O$2:$Q$151,2,FALSE),"")</f>
        <v/>
      </c>
      <c r="S72" s="4" t="str">
        <f>IFERROR(VLOOKUP(ROWS($R$2:R72),$O$2:$Q$151,3,FALSE),"")</f>
        <v/>
      </c>
      <c r="U72" s="5">
        <f>IF(ISNUMBER(SEARCH(#REF!,V72)),MAX($U$1:U71)+1,0)</f>
        <v>0</v>
      </c>
      <c r="V72" s="5" t="e">
        <f>#REF!</f>
        <v>#REF!</v>
      </c>
      <c r="W72" s="5" t="e">
        <f>#REF!</f>
        <v>#REF!</v>
      </c>
      <c r="X72" s="6" t="str">
        <f>IFERROR(VLOOKUP(ROWS($X$2:X72),$U$2:$W$151,2,FALSE),"")</f>
        <v/>
      </c>
      <c r="Y72" s="6" t="str">
        <f>IFERROR(VLOOKUP(ROWS($X$2:X72),$U$2:$W$151,3,FALSE),"")</f>
        <v/>
      </c>
      <c r="AA72" s="5">
        <f>IF(ISNUMBER(SEARCH(#REF!,AB72)),MAX($AA$1:AA71)+1,0)</f>
        <v>0</v>
      </c>
      <c r="AB72" s="5" t="e">
        <f>#REF!</f>
        <v>#REF!</v>
      </c>
      <c r="AC72" s="5" t="e">
        <f>#REF!</f>
        <v>#REF!</v>
      </c>
      <c r="AD72" s="6" t="str">
        <f>IFERROR(VLOOKUP(ROWS($AD$2:AD72),$AA$2:$AC$151,2,FALSE),"")</f>
        <v/>
      </c>
      <c r="AE72" s="6" t="str">
        <f>IFERROR(VLOOKUP(ROWS($AD$2:AD72),$AA$2:$AC$151,3,FALSE),"")</f>
        <v/>
      </c>
      <c r="AG72" s="7">
        <f>IF(ISNUMBER(SEARCH(#REF!,AH72)),MAX($AG$1:AG71)+1,0)</f>
        <v>0</v>
      </c>
      <c r="AH72" s="7" t="e">
        <f>#REF!</f>
        <v>#REF!</v>
      </c>
      <c r="AI72" s="7" t="e">
        <f>#REF!</f>
        <v>#REF!</v>
      </c>
      <c r="AJ72" s="8" t="str">
        <f>IFERROR(VLOOKUP(ROWS(AJ$2:AJ72),$AG$2:$AI$151,2,FALSE),"")</f>
        <v/>
      </c>
      <c r="AK72" s="8" t="str">
        <f>IFERROR(VLOOKUP(ROWS($AJ$2:AJ72),$AG$2:$AI$151,3,FALSE),"")</f>
        <v/>
      </c>
      <c r="AM72" s="7">
        <f>IF(ISNUMBER(SEARCH(#REF!,AN72)),MAX($AM$1:AM71)+1,0)</f>
        <v>0</v>
      </c>
      <c r="AN72" s="7" t="e">
        <f>#REF!</f>
        <v>#REF!</v>
      </c>
      <c r="AO72" s="7" t="e">
        <f>#REF!</f>
        <v>#REF!</v>
      </c>
      <c r="AP72" s="8" t="str">
        <f>IFERROR(VLOOKUP(ROWS($AP$2:AP72),$AM$2:$AO$151,2,FALSE),"")</f>
        <v/>
      </c>
      <c r="AQ72" s="8" t="str">
        <f>IFERROR(VLOOKUP(ROWS($AP$2:AP72),$AM$2:$AO$151,3,FALSE),"")</f>
        <v/>
      </c>
      <c r="AS72" s="9">
        <f>IF(ISNUMBER(SEARCH(#REF!,AT72)),MAX($AS$1:AS71)+1,0)</f>
        <v>0</v>
      </c>
      <c r="AT72" s="9" t="e">
        <f>#REF!</f>
        <v>#REF!</v>
      </c>
      <c r="AU72" s="9" t="e">
        <f>#REF!</f>
        <v>#REF!</v>
      </c>
      <c r="AV72" s="10" t="str">
        <f>IFERROR(VLOOKUP(ROWS(AV$2:AV72),$AS$2:$AU$151,2,FALSE),"")</f>
        <v/>
      </c>
      <c r="AW72" s="10" t="str">
        <f>IFERROR(VLOOKUP(ROWS($AV$2:AV72),$AS$2:$AU$151,3,FALSE),"")</f>
        <v/>
      </c>
      <c r="AY72" s="9">
        <f>IF(ISNUMBER(SEARCH(#REF!,AZ72)),MAX($AY$1:AY71)+1,0)</f>
        <v>0</v>
      </c>
      <c r="AZ72" s="9" t="e">
        <f>#REF!</f>
        <v>#REF!</v>
      </c>
      <c r="BA72" s="9" t="e">
        <f>#REF!</f>
        <v>#REF!</v>
      </c>
      <c r="BB72" s="10" t="str">
        <f>IFERROR(VLOOKUP(ROWS($BB$2:BB72),$AY$2:$BA$151,2,FALSE),"")</f>
        <v/>
      </c>
      <c r="BC72" s="10" t="str">
        <f>IFERROR(VLOOKUP(ROWS($BB$2:BB72),$AY$2:$BA$151,3,FALSE),"")</f>
        <v/>
      </c>
    </row>
    <row r="73" spans="3:55" x14ac:dyDescent="0.25">
      <c r="C73" s="3">
        <f>IF(ISNUMBER(SEARCH(#REF!,D73)),MAX($C$1:C72)+1,0)</f>
        <v>0</v>
      </c>
      <c r="D73" s="3" t="e">
        <f>#REF!</f>
        <v>#REF!</v>
      </c>
      <c r="E73" s="3" t="e">
        <f>#REF!</f>
        <v>#REF!</v>
      </c>
      <c r="F73" s="4" t="str">
        <f>IFERROR(VLOOKUP(ROWS($F$2:F73),$C$2:$E$151,2,FALSE),"")</f>
        <v/>
      </c>
      <c r="G73" s="4" t="str">
        <f>IFERROR(VLOOKUP(ROWS($F$2:F73),$C$2:$E$151,3,FALSE),"")</f>
        <v/>
      </c>
      <c r="I73" s="3">
        <f>IF(ISNUMBER(SEARCH(#REF!,J73)),MAX($I$1:I72)+1,0)</f>
        <v>0</v>
      </c>
      <c r="J73" s="3" t="e">
        <f>#REF!</f>
        <v>#REF!</v>
      </c>
      <c r="K73" s="3" t="e">
        <f>#REF!</f>
        <v>#REF!</v>
      </c>
      <c r="L73" s="4" t="str">
        <f>IFERROR(VLOOKUP(ROWS($L$2:L73),$I$2:$K$151,2,FALSE),"")</f>
        <v/>
      </c>
      <c r="M73" s="4" t="str">
        <f>IFERROR(VLOOKUP(ROWS($L$2:L73),$I$2:$K$151,3,FALSE),"")</f>
        <v/>
      </c>
      <c r="O73" s="3">
        <f>IF(ISNUMBER(SEARCH(#REF!,P73)),MAX($O$1:O72)+1,0)</f>
        <v>0</v>
      </c>
      <c r="P73" s="3" t="e">
        <f>#REF!</f>
        <v>#REF!</v>
      </c>
      <c r="Q73" s="3" t="e">
        <f>#REF!</f>
        <v>#REF!</v>
      </c>
      <c r="R73" s="4" t="str">
        <f>IFERROR(VLOOKUP(ROWS($R$2:R73),$O$2:$Q$151,2,FALSE),"")</f>
        <v/>
      </c>
      <c r="S73" s="4" t="str">
        <f>IFERROR(VLOOKUP(ROWS($R$2:R73),$O$2:$Q$151,3,FALSE),"")</f>
        <v/>
      </c>
      <c r="U73" s="5">
        <f>IF(ISNUMBER(SEARCH(#REF!,V73)),MAX($U$1:U72)+1,0)</f>
        <v>0</v>
      </c>
      <c r="V73" s="5" t="e">
        <f>#REF!</f>
        <v>#REF!</v>
      </c>
      <c r="W73" s="5" t="e">
        <f>#REF!</f>
        <v>#REF!</v>
      </c>
      <c r="X73" s="6" t="str">
        <f>IFERROR(VLOOKUP(ROWS($X$2:X73),$U$2:$W$151,2,FALSE),"")</f>
        <v/>
      </c>
      <c r="Y73" s="6" t="str">
        <f>IFERROR(VLOOKUP(ROWS($X$2:X73),$U$2:$W$151,3,FALSE),"")</f>
        <v/>
      </c>
      <c r="AA73" s="5">
        <f>IF(ISNUMBER(SEARCH(#REF!,AB73)),MAX($AA$1:AA72)+1,0)</f>
        <v>0</v>
      </c>
      <c r="AB73" s="5" t="e">
        <f>#REF!</f>
        <v>#REF!</v>
      </c>
      <c r="AC73" s="5" t="e">
        <f>#REF!</f>
        <v>#REF!</v>
      </c>
      <c r="AD73" s="6" t="str">
        <f>IFERROR(VLOOKUP(ROWS($AD$2:AD73),$AA$2:$AC$151,2,FALSE),"")</f>
        <v/>
      </c>
      <c r="AE73" s="6" t="str">
        <f>IFERROR(VLOOKUP(ROWS($AD$2:AD73),$AA$2:$AC$151,3,FALSE),"")</f>
        <v/>
      </c>
      <c r="AG73" s="7">
        <f>IF(ISNUMBER(SEARCH(#REF!,AH73)),MAX($AG$1:AG72)+1,0)</f>
        <v>0</v>
      </c>
      <c r="AH73" s="7" t="e">
        <f>#REF!</f>
        <v>#REF!</v>
      </c>
      <c r="AI73" s="7" t="e">
        <f>#REF!</f>
        <v>#REF!</v>
      </c>
      <c r="AJ73" s="8" t="str">
        <f>IFERROR(VLOOKUP(ROWS(AJ$2:AJ73),$AG$2:$AI$151,2,FALSE),"")</f>
        <v/>
      </c>
      <c r="AK73" s="8" t="str">
        <f>IFERROR(VLOOKUP(ROWS($AJ$2:AJ73),$AG$2:$AI$151,3,FALSE),"")</f>
        <v/>
      </c>
      <c r="AM73" s="7">
        <f>IF(ISNUMBER(SEARCH(#REF!,AN73)),MAX($AM$1:AM72)+1,0)</f>
        <v>0</v>
      </c>
      <c r="AN73" s="7" t="e">
        <f>#REF!</f>
        <v>#REF!</v>
      </c>
      <c r="AO73" s="7" t="e">
        <f>#REF!</f>
        <v>#REF!</v>
      </c>
      <c r="AP73" s="8" t="str">
        <f>IFERROR(VLOOKUP(ROWS($AP$2:AP73),$AM$2:$AO$151,2,FALSE),"")</f>
        <v/>
      </c>
      <c r="AQ73" s="8" t="str">
        <f>IFERROR(VLOOKUP(ROWS($AP$2:AP73),$AM$2:$AO$151,3,FALSE),"")</f>
        <v/>
      </c>
      <c r="AS73" s="9">
        <f>IF(ISNUMBER(SEARCH(#REF!,AT73)),MAX($AS$1:AS72)+1,0)</f>
        <v>0</v>
      </c>
      <c r="AT73" s="9" t="e">
        <f>#REF!</f>
        <v>#REF!</v>
      </c>
      <c r="AU73" s="9" t="e">
        <f>#REF!</f>
        <v>#REF!</v>
      </c>
      <c r="AV73" s="10" t="str">
        <f>IFERROR(VLOOKUP(ROWS(AV$2:AV73),$AS$2:$AU$151,2,FALSE),"")</f>
        <v/>
      </c>
      <c r="AW73" s="10" t="str">
        <f>IFERROR(VLOOKUP(ROWS($AV$2:AV73),$AS$2:$AU$151,3,FALSE),"")</f>
        <v/>
      </c>
      <c r="AY73" s="9">
        <f>IF(ISNUMBER(SEARCH(#REF!,AZ73)),MAX($AY$1:AY72)+1,0)</f>
        <v>0</v>
      </c>
      <c r="AZ73" s="9" t="e">
        <f>#REF!</f>
        <v>#REF!</v>
      </c>
      <c r="BA73" s="9" t="e">
        <f>#REF!</f>
        <v>#REF!</v>
      </c>
      <c r="BB73" s="10" t="str">
        <f>IFERROR(VLOOKUP(ROWS($BB$2:BB73),$AY$2:$BA$151,2,FALSE),"")</f>
        <v/>
      </c>
      <c r="BC73" s="10" t="str">
        <f>IFERROR(VLOOKUP(ROWS($BB$2:BB73),$AY$2:$BA$151,3,FALSE),"")</f>
        <v/>
      </c>
    </row>
    <row r="74" spans="3:55" x14ac:dyDescent="0.25">
      <c r="C74" s="3">
        <f>IF(ISNUMBER(SEARCH(#REF!,D74)),MAX($C$1:C73)+1,0)</f>
        <v>0</v>
      </c>
      <c r="D74" s="3" t="e">
        <f>#REF!</f>
        <v>#REF!</v>
      </c>
      <c r="E74" s="3" t="e">
        <f>#REF!</f>
        <v>#REF!</v>
      </c>
      <c r="F74" s="4" t="str">
        <f>IFERROR(VLOOKUP(ROWS($F$2:F74),$C$2:$E$151,2,FALSE),"")</f>
        <v/>
      </c>
      <c r="G74" s="4" t="str">
        <f>IFERROR(VLOOKUP(ROWS($F$2:F74),$C$2:$E$151,3,FALSE),"")</f>
        <v/>
      </c>
      <c r="I74" s="3">
        <f>IF(ISNUMBER(SEARCH(#REF!,J74)),MAX($I$1:I73)+1,0)</f>
        <v>0</v>
      </c>
      <c r="J74" s="3" t="e">
        <f>#REF!</f>
        <v>#REF!</v>
      </c>
      <c r="K74" s="3" t="e">
        <f>#REF!</f>
        <v>#REF!</v>
      </c>
      <c r="L74" s="4" t="str">
        <f>IFERROR(VLOOKUP(ROWS($L$2:L74),$I$2:$K$151,2,FALSE),"")</f>
        <v/>
      </c>
      <c r="M74" s="4" t="str">
        <f>IFERROR(VLOOKUP(ROWS($L$2:L74),$I$2:$K$151,3,FALSE),"")</f>
        <v/>
      </c>
      <c r="O74" s="3">
        <f>IF(ISNUMBER(SEARCH(#REF!,P74)),MAX($O$1:O73)+1,0)</f>
        <v>0</v>
      </c>
      <c r="P74" s="3" t="e">
        <f>#REF!</f>
        <v>#REF!</v>
      </c>
      <c r="Q74" s="3" t="e">
        <f>#REF!</f>
        <v>#REF!</v>
      </c>
      <c r="R74" s="4" t="str">
        <f>IFERROR(VLOOKUP(ROWS($R$2:R74),$O$2:$Q$151,2,FALSE),"")</f>
        <v/>
      </c>
      <c r="S74" s="4" t="str">
        <f>IFERROR(VLOOKUP(ROWS($R$2:R74),$O$2:$Q$151,3,FALSE),"")</f>
        <v/>
      </c>
      <c r="U74" s="5">
        <f>IF(ISNUMBER(SEARCH(#REF!,V74)),MAX($U$1:U73)+1,0)</f>
        <v>0</v>
      </c>
      <c r="V74" s="5" t="e">
        <f>#REF!</f>
        <v>#REF!</v>
      </c>
      <c r="W74" s="5" t="e">
        <f>#REF!</f>
        <v>#REF!</v>
      </c>
      <c r="X74" s="6" t="str">
        <f>IFERROR(VLOOKUP(ROWS($X$2:X74),$U$2:$W$151,2,FALSE),"")</f>
        <v/>
      </c>
      <c r="Y74" s="6" t="str">
        <f>IFERROR(VLOOKUP(ROWS($X$2:X74),$U$2:$W$151,3,FALSE),"")</f>
        <v/>
      </c>
      <c r="AA74" s="5">
        <f>IF(ISNUMBER(SEARCH(#REF!,AB74)),MAX($AA$1:AA73)+1,0)</f>
        <v>0</v>
      </c>
      <c r="AB74" s="5" t="e">
        <f>#REF!</f>
        <v>#REF!</v>
      </c>
      <c r="AC74" s="5" t="e">
        <f>#REF!</f>
        <v>#REF!</v>
      </c>
      <c r="AD74" s="6" t="str">
        <f>IFERROR(VLOOKUP(ROWS($AD$2:AD74),$AA$2:$AC$151,2,FALSE),"")</f>
        <v/>
      </c>
      <c r="AE74" s="6" t="str">
        <f>IFERROR(VLOOKUP(ROWS($AD$2:AD74),$AA$2:$AC$151,3,FALSE),"")</f>
        <v/>
      </c>
      <c r="AG74" s="7">
        <f>IF(ISNUMBER(SEARCH(#REF!,AH74)),MAX($AG$1:AG73)+1,0)</f>
        <v>0</v>
      </c>
      <c r="AH74" s="7" t="e">
        <f>#REF!</f>
        <v>#REF!</v>
      </c>
      <c r="AI74" s="7" t="e">
        <f>#REF!</f>
        <v>#REF!</v>
      </c>
      <c r="AJ74" s="8" t="str">
        <f>IFERROR(VLOOKUP(ROWS(AJ$2:AJ74),$AG$2:$AI$151,2,FALSE),"")</f>
        <v/>
      </c>
      <c r="AK74" s="8" t="str">
        <f>IFERROR(VLOOKUP(ROWS($AJ$2:AJ74),$AG$2:$AI$151,3,FALSE),"")</f>
        <v/>
      </c>
      <c r="AM74" s="7">
        <f>IF(ISNUMBER(SEARCH(#REF!,AN74)),MAX($AM$1:AM73)+1,0)</f>
        <v>0</v>
      </c>
      <c r="AN74" s="7" t="e">
        <f>#REF!</f>
        <v>#REF!</v>
      </c>
      <c r="AO74" s="7" t="e">
        <f>#REF!</f>
        <v>#REF!</v>
      </c>
      <c r="AP74" s="8" t="str">
        <f>IFERROR(VLOOKUP(ROWS($AP$2:AP74),$AM$2:$AO$151,2,FALSE),"")</f>
        <v/>
      </c>
      <c r="AQ74" s="8" t="str">
        <f>IFERROR(VLOOKUP(ROWS($AP$2:AP74),$AM$2:$AO$151,3,FALSE),"")</f>
        <v/>
      </c>
      <c r="AS74" s="9">
        <f>IF(ISNUMBER(SEARCH(#REF!,AT74)),MAX($AS$1:AS73)+1,0)</f>
        <v>0</v>
      </c>
      <c r="AT74" s="9" t="e">
        <f>#REF!</f>
        <v>#REF!</v>
      </c>
      <c r="AU74" s="9" t="e">
        <f>#REF!</f>
        <v>#REF!</v>
      </c>
      <c r="AV74" s="10" t="str">
        <f>IFERROR(VLOOKUP(ROWS(AV$2:AV74),$AS$2:$AU$151,2,FALSE),"")</f>
        <v/>
      </c>
      <c r="AW74" s="10" t="str">
        <f>IFERROR(VLOOKUP(ROWS($AV$2:AV74),$AS$2:$AU$151,3,FALSE),"")</f>
        <v/>
      </c>
      <c r="AY74" s="9">
        <f>IF(ISNUMBER(SEARCH(#REF!,AZ74)),MAX($AY$1:AY73)+1,0)</f>
        <v>0</v>
      </c>
      <c r="AZ74" s="9" t="e">
        <f>#REF!</f>
        <v>#REF!</v>
      </c>
      <c r="BA74" s="9" t="e">
        <f>#REF!</f>
        <v>#REF!</v>
      </c>
      <c r="BB74" s="10" t="str">
        <f>IFERROR(VLOOKUP(ROWS($BB$2:BB74),$AY$2:$BA$151,2,FALSE),"")</f>
        <v/>
      </c>
      <c r="BC74" s="10" t="str">
        <f>IFERROR(VLOOKUP(ROWS($BB$2:BB74),$AY$2:$BA$151,3,FALSE),"")</f>
        <v/>
      </c>
    </row>
    <row r="75" spans="3:55" x14ac:dyDescent="0.25">
      <c r="C75" s="3">
        <f>IF(ISNUMBER(SEARCH(#REF!,D75)),MAX($C$1:C74)+1,0)</f>
        <v>0</v>
      </c>
      <c r="D75" s="3" t="e">
        <f>#REF!</f>
        <v>#REF!</v>
      </c>
      <c r="E75" s="3" t="e">
        <f>#REF!</f>
        <v>#REF!</v>
      </c>
      <c r="F75" s="4" t="str">
        <f>IFERROR(VLOOKUP(ROWS($F$2:F75),$C$2:$E$151,2,FALSE),"")</f>
        <v/>
      </c>
      <c r="G75" s="4" t="str">
        <f>IFERROR(VLOOKUP(ROWS($F$2:F75),$C$2:$E$151,3,FALSE),"")</f>
        <v/>
      </c>
      <c r="I75" s="3">
        <f>IF(ISNUMBER(SEARCH(#REF!,J75)),MAX($I$1:I74)+1,0)</f>
        <v>0</v>
      </c>
      <c r="J75" s="3" t="e">
        <f>#REF!</f>
        <v>#REF!</v>
      </c>
      <c r="K75" s="3" t="e">
        <f>#REF!</f>
        <v>#REF!</v>
      </c>
      <c r="L75" s="4" t="str">
        <f>IFERROR(VLOOKUP(ROWS($L$2:L75),$I$2:$K$151,2,FALSE),"")</f>
        <v/>
      </c>
      <c r="M75" s="4" t="str">
        <f>IFERROR(VLOOKUP(ROWS($L$2:L75),$I$2:$K$151,3,FALSE),"")</f>
        <v/>
      </c>
      <c r="O75" s="3">
        <f>IF(ISNUMBER(SEARCH(#REF!,P75)),MAX($O$1:O74)+1,0)</f>
        <v>0</v>
      </c>
      <c r="P75" s="3" t="e">
        <f>#REF!</f>
        <v>#REF!</v>
      </c>
      <c r="Q75" s="3" t="e">
        <f>#REF!</f>
        <v>#REF!</v>
      </c>
      <c r="R75" s="4" t="str">
        <f>IFERROR(VLOOKUP(ROWS($R$2:R75),$O$2:$Q$151,2,FALSE),"")</f>
        <v/>
      </c>
      <c r="S75" s="4" t="str">
        <f>IFERROR(VLOOKUP(ROWS($R$2:R75),$O$2:$Q$151,3,FALSE),"")</f>
        <v/>
      </c>
      <c r="U75" s="5">
        <f>IF(ISNUMBER(SEARCH(#REF!,V75)),MAX($U$1:U74)+1,0)</f>
        <v>0</v>
      </c>
      <c r="V75" s="5" t="e">
        <f>#REF!</f>
        <v>#REF!</v>
      </c>
      <c r="W75" s="5" t="e">
        <f>#REF!</f>
        <v>#REF!</v>
      </c>
      <c r="X75" s="6" t="str">
        <f>IFERROR(VLOOKUP(ROWS($X$2:X75),$U$2:$W$151,2,FALSE),"")</f>
        <v/>
      </c>
      <c r="Y75" s="6" t="str">
        <f>IFERROR(VLOOKUP(ROWS($X$2:X75),$U$2:$W$151,3,FALSE),"")</f>
        <v/>
      </c>
      <c r="AA75" s="5">
        <f>IF(ISNUMBER(SEARCH(#REF!,AB75)),MAX($AA$1:AA74)+1,0)</f>
        <v>0</v>
      </c>
      <c r="AB75" s="5" t="e">
        <f>#REF!</f>
        <v>#REF!</v>
      </c>
      <c r="AC75" s="5" t="e">
        <f>#REF!</f>
        <v>#REF!</v>
      </c>
      <c r="AD75" s="6" t="str">
        <f>IFERROR(VLOOKUP(ROWS($AD$2:AD75),$AA$2:$AC$151,2,FALSE),"")</f>
        <v/>
      </c>
      <c r="AE75" s="6" t="str">
        <f>IFERROR(VLOOKUP(ROWS($AD$2:AD75),$AA$2:$AC$151,3,FALSE),"")</f>
        <v/>
      </c>
      <c r="AG75" s="7">
        <f>IF(ISNUMBER(SEARCH(#REF!,AH75)),MAX($AG$1:AG74)+1,0)</f>
        <v>0</v>
      </c>
      <c r="AH75" s="7" t="e">
        <f>#REF!</f>
        <v>#REF!</v>
      </c>
      <c r="AI75" s="7" t="e">
        <f>#REF!</f>
        <v>#REF!</v>
      </c>
      <c r="AJ75" s="8" t="str">
        <f>IFERROR(VLOOKUP(ROWS(AJ$2:AJ75),$AG$2:$AI$151,2,FALSE),"")</f>
        <v/>
      </c>
      <c r="AK75" s="8" t="str">
        <f>IFERROR(VLOOKUP(ROWS($AJ$2:AJ75),$AG$2:$AI$151,3,FALSE),"")</f>
        <v/>
      </c>
      <c r="AM75" s="7">
        <f>IF(ISNUMBER(SEARCH(#REF!,AN75)),MAX($AM$1:AM74)+1,0)</f>
        <v>0</v>
      </c>
      <c r="AN75" s="7" t="e">
        <f>#REF!</f>
        <v>#REF!</v>
      </c>
      <c r="AO75" s="7" t="e">
        <f>#REF!</f>
        <v>#REF!</v>
      </c>
      <c r="AP75" s="8" t="str">
        <f>IFERROR(VLOOKUP(ROWS($AP$2:AP75),$AM$2:$AO$151,2,FALSE),"")</f>
        <v/>
      </c>
      <c r="AQ75" s="8" t="str">
        <f>IFERROR(VLOOKUP(ROWS($AP$2:AP75),$AM$2:$AO$151,3,FALSE),"")</f>
        <v/>
      </c>
      <c r="AS75" s="9">
        <f>IF(ISNUMBER(SEARCH(#REF!,AT75)),MAX($AS$1:AS74)+1,0)</f>
        <v>0</v>
      </c>
      <c r="AT75" s="9" t="e">
        <f>#REF!</f>
        <v>#REF!</v>
      </c>
      <c r="AU75" s="9" t="e">
        <f>#REF!</f>
        <v>#REF!</v>
      </c>
      <c r="AV75" s="10" t="str">
        <f>IFERROR(VLOOKUP(ROWS(AV$2:AV75),$AS$2:$AU$151,2,FALSE),"")</f>
        <v/>
      </c>
      <c r="AW75" s="10" t="str">
        <f>IFERROR(VLOOKUP(ROWS($AV$2:AV75),$AS$2:$AU$151,3,FALSE),"")</f>
        <v/>
      </c>
      <c r="AY75" s="9">
        <f>IF(ISNUMBER(SEARCH(#REF!,AZ75)),MAX($AY$1:AY74)+1,0)</f>
        <v>0</v>
      </c>
      <c r="AZ75" s="9" t="e">
        <f>#REF!</f>
        <v>#REF!</v>
      </c>
      <c r="BA75" s="9" t="e">
        <f>#REF!</f>
        <v>#REF!</v>
      </c>
      <c r="BB75" s="10" t="str">
        <f>IFERROR(VLOOKUP(ROWS($BB$2:BB75),$AY$2:$BA$151,2,FALSE),"")</f>
        <v/>
      </c>
      <c r="BC75" s="10" t="str">
        <f>IFERROR(VLOOKUP(ROWS($BB$2:BB75),$AY$2:$BA$151,3,FALSE),"")</f>
        <v/>
      </c>
    </row>
    <row r="76" spans="3:55" x14ac:dyDescent="0.25">
      <c r="C76" s="3">
        <f>IF(ISNUMBER(SEARCH(#REF!,D76)),MAX($C$1:C75)+1,0)</f>
        <v>0</v>
      </c>
      <c r="D76" s="3" t="e">
        <f>#REF!</f>
        <v>#REF!</v>
      </c>
      <c r="E76" s="3" t="e">
        <f>#REF!</f>
        <v>#REF!</v>
      </c>
      <c r="F76" s="4" t="str">
        <f>IFERROR(VLOOKUP(ROWS($F$2:F76),$C$2:$E$151,2,FALSE),"")</f>
        <v/>
      </c>
      <c r="G76" s="4" t="str">
        <f>IFERROR(VLOOKUP(ROWS($F$2:F76),$C$2:$E$151,3,FALSE),"")</f>
        <v/>
      </c>
      <c r="I76" s="3">
        <f>IF(ISNUMBER(SEARCH(#REF!,J76)),MAX($I$1:I75)+1,0)</f>
        <v>0</v>
      </c>
      <c r="J76" s="3" t="e">
        <f>#REF!</f>
        <v>#REF!</v>
      </c>
      <c r="K76" s="3" t="e">
        <f>#REF!</f>
        <v>#REF!</v>
      </c>
      <c r="L76" s="4" t="str">
        <f>IFERROR(VLOOKUP(ROWS($L$2:L76),$I$2:$K$151,2,FALSE),"")</f>
        <v/>
      </c>
      <c r="M76" s="4" t="str">
        <f>IFERROR(VLOOKUP(ROWS($L$2:L76),$I$2:$K$151,3,FALSE),"")</f>
        <v/>
      </c>
      <c r="O76" s="3">
        <f>IF(ISNUMBER(SEARCH(#REF!,P76)),MAX($O$1:O75)+1,0)</f>
        <v>0</v>
      </c>
      <c r="P76" s="3" t="e">
        <f>#REF!</f>
        <v>#REF!</v>
      </c>
      <c r="Q76" s="3" t="e">
        <f>#REF!</f>
        <v>#REF!</v>
      </c>
      <c r="R76" s="4" t="str">
        <f>IFERROR(VLOOKUP(ROWS($R$2:R76),$O$2:$Q$151,2,FALSE),"")</f>
        <v/>
      </c>
      <c r="S76" s="4" t="str">
        <f>IFERROR(VLOOKUP(ROWS($R$2:R76),$O$2:$Q$151,3,FALSE),"")</f>
        <v/>
      </c>
      <c r="U76" s="5">
        <f>IF(ISNUMBER(SEARCH(#REF!,V76)),MAX($U$1:U75)+1,0)</f>
        <v>0</v>
      </c>
      <c r="V76" s="5" t="e">
        <f>#REF!</f>
        <v>#REF!</v>
      </c>
      <c r="W76" s="5" t="e">
        <f>#REF!</f>
        <v>#REF!</v>
      </c>
      <c r="X76" s="6" t="str">
        <f>IFERROR(VLOOKUP(ROWS($X$2:X76),$U$2:$W$151,2,FALSE),"")</f>
        <v/>
      </c>
      <c r="Y76" s="6" t="str">
        <f>IFERROR(VLOOKUP(ROWS($X$2:X76),$U$2:$W$151,3,FALSE),"")</f>
        <v/>
      </c>
      <c r="AA76" s="5">
        <f>IF(ISNUMBER(SEARCH(#REF!,AB76)),MAX($AA$1:AA75)+1,0)</f>
        <v>0</v>
      </c>
      <c r="AB76" s="5" t="e">
        <f>#REF!</f>
        <v>#REF!</v>
      </c>
      <c r="AC76" s="5" t="e">
        <f>#REF!</f>
        <v>#REF!</v>
      </c>
      <c r="AD76" s="6" t="str">
        <f>IFERROR(VLOOKUP(ROWS($AD$2:AD76),$AA$2:$AC$151,2,FALSE),"")</f>
        <v/>
      </c>
      <c r="AE76" s="6" t="str">
        <f>IFERROR(VLOOKUP(ROWS($AD$2:AD76),$AA$2:$AC$151,3,FALSE),"")</f>
        <v/>
      </c>
      <c r="AG76" s="7">
        <f>IF(ISNUMBER(SEARCH(#REF!,AH76)),MAX($AG$1:AG75)+1,0)</f>
        <v>0</v>
      </c>
      <c r="AH76" s="7" t="e">
        <f>#REF!</f>
        <v>#REF!</v>
      </c>
      <c r="AI76" s="7" t="e">
        <f>#REF!</f>
        <v>#REF!</v>
      </c>
      <c r="AJ76" s="8" t="str">
        <f>IFERROR(VLOOKUP(ROWS(AJ$2:AJ76),$AG$2:$AI$151,2,FALSE),"")</f>
        <v/>
      </c>
      <c r="AK76" s="8" t="str">
        <f>IFERROR(VLOOKUP(ROWS($AJ$2:AJ76),$AG$2:$AI$151,3,FALSE),"")</f>
        <v/>
      </c>
      <c r="AM76" s="7">
        <f>IF(ISNUMBER(SEARCH(#REF!,AN76)),MAX($AM$1:AM75)+1,0)</f>
        <v>0</v>
      </c>
      <c r="AN76" s="7" t="e">
        <f>#REF!</f>
        <v>#REF!</v>
      </c>
      <c r="AO76" s="7" t="e">
        <f>#REF!</f>
        <v>#REF!</v>
      </c>
      <c r="AP76" s="8" t="str">
        <f>IFERROR(VLOOKUP(ROWS($AP$2:AP76),$AM$2:$AO$151,2,FALSE),"")</f>
        <v/>
      </c>
      <c r="AQ76" s="8" t="str">
        <f>IFERROR(VLOOKUP(ROWS($AP$2:AP76),$AM$2:$AO$151,3,FALSE),"")</f>
        <v/>
      </c>
      <c r="AS76" s="9">
        <f>IF(ISNUMBER(SEARCH(#REF!,AT76)),MAX($AS$1:AS75)+1,0)</f>
        <v>0</v>
      </c>
      <c r="AT76" s="9" t="e">
        <f>#REF!</f>
        <v>#REF!</v>
      </c>
      <c r="AU76" s="9" t="e">
        <f>#REF!</f>
        <v>#REF!</v>
      </c>
      <c r="AV76" s="10" t="str">
        <f>IFERROR(VLOOKUP(ROWS(AV$2:AV76),$AS$2:$AU$151,2,FALSE),"")</f>
        <v/>
      </c>
      <c r="AW76" s="10" t="str">
        <f>IFERROR(VLOOKUP(ROWS($AV$2:AV76),$AS$2:$AU$151,3,FALSE),"")</f>
        <v/>
      </c>
      <c r="AY76" s="9">
        <f>IF(ISNUMBER(SEARCH(#REF!,AZ76)),MAX($AY$1:AY75)+1,0)</f>
        <v>0</v>
      </c>
      <c r="AZ76" s="9" t="e">
        <f>#REF!</f>
        <v>#REF!</v>
      </c>
      <c r="BA76" s="9" t="e">
        <f>#REF!</f>
        <v>#REF!</v>
      </c>
      <c r="BB76" s="10" t="str">
        <f>IFERROR(VLOOKUP(ROWS($BB$2:BB76),$AY$2:$BA$151,2,FALSE),"")</f>
        <v/>
      </c>
      <c r="BC76" s="10" t="str">
        <f>IFERROR(VLOOKUP(ROWS($BB$2:BB76),$AY$2:$BA$151,3,FALSE),"")</f>
        <v/>
      </c>
    </row>
    <row r="77" spans="3:55" x14ac:dyDescent="0.25">
      <c r="C77" s="3">
        <f>IF(ISNUMBER(SEARCH(#REF!,D77)),MAX($C$1:C76)+1,0)</f>
        <v>0</v>
      </c>
      <c r="D77" s="3" t="e">
        <f>#REF!</f>
        <v>#REF!</v>
      </c>
      <c r="E77" s="3" t="e">
        <f>#REF!</f>
        <v>#REF!</v>
      </c>
      <c r="F77" s="4" t="str">
        <f>IFERROR(VLOOKUP(ROWS($F$2:F77),$C$2:$E$151,2,FALSE),"")</f>
        <v/>
      </c>
      <c r="G77" s="4" t="str">
        <f>IFERROR(VLOOKUP(ROWS($F$2:F77),$C$2:$E$151,3,FALSE),"")</f>
        <v/>
      </c>
      <c r="I77" s="3">
        <f>IF(ISNUMBER(SEARCH(#REF!,J77)),MAX($I$1:I76)+1,0)</f>
        <v>0</v>
      </c>
      <c r="J77" s="3" t="e">
        <f>#REF!</f>
        <v>#REF!</v>
      </c>
      <c r="K77" s="3" t="e">
        <f>#REF!</f>
        <v>#REF!</v>
      </c>
      <c r="L77" s="4" t="str">
        <f>IFERROR(VLOOKUP(ROWS($L$2:L77),$I$2:$K$151,2,FALSE),"")</f>
        <v/>
      </c>
      <c r="M77" s="4" t="str">
        <f>IFERROR(VLOOKUP(ROWS($L$2:L77),$I$2:$K$151,3,FALSE),"")</f>
        <v/>
      </c>
      <c r="O77" s="3">
        <f>IF(ISNUMBER(SEARCH(#REF!,P77)),MAX($O$1:O76)+1,0)</f>
        <v>0</v>
      </c>
      <c r="P77" s="3" t="e">
        <f>#REF!</f>
        <v>#REF!</v>
      </c>
      <c r="Q77" s="3" t="e">
        <f>#REF!</f>
        <v>#REF!</v>
      </c>
      <c r="R77" s="4" t="str">
        <f>IFERROR(VLOOKUP(ROWS($R$2:R77),$O$2:$Q$151,2,FALSE),"")</f>
        <v/>
      </c>
      <c r="S77" s="4" t="str">
        <f>IFERROR(VLOOKUP(ROWS($R$2:R77),$O$2:$Q$151,3,FALSE),"")</f>
        <v/>
      </c>
      <c r="U77" s="5">
        <f>IF(ISNUMBER(SEARCH(#REF!,V77)),MAX($U$1:U76)+1,0)</f>
        <v>0</v>
      </c>
      <c r="V77" s="5" t="e">
        <f>#REF!</f>
        <v>#REF!</v>
      </c>
      <c r="W77" s="5" t="e">
        <f>#REF!</f>
        <v>#REF!</v>
      </c>
      <c r="X77" s="6" t="str">
        <f>IFERROR(VLOOKUP(ROWS($X$2:X77),$U$2:$W$151,2,FALSE),"")</f>
        <v/>
      </c>
      <c r="Y77" s="6" t="str">
        <f>IFERROR(VLOOKUP(ROWS($X$2:X77),$U$2:$W$151,3,FALSE),"")</f>
        <v/>
      </c>
      <c r="AA77" s="5">
        <f>IF(ISNUMBER(SEARCH(#REF!,AB77)),MAX($AA$1:AA76)+1,0)</f>
        <v>0</v>
      </c>
      <c r="AB77" s="5" t="e">
        <f>#REF!</f>
        <v>#REF!</v>
      </c>
      <c r="AC77" s="5" t="e">
        <f>#REF!</f>
        <v>#REF!</v>
      </c>
      <c r="AD77" s="6" t="str">
        <f>IFERROR(VLOOKUP(ROWS($AD$2:AD77),$AA$2:$AC$151,2,FALSE),"")</f>
        <v/>
      </c>
      <c r="AE77" s="6" t="str">
        <f>IFERROR(VLOOKUP(ROWS($AD$2:AD77),$AA$2:$AC$151,3,FALSE),"")</f>
        <v/>
      </c>
      <c r="AG77" s="7">
        <f>IF(ISNUMBER(SEARCH(#REF!,AH77)),MAX($AG$1:AG76)+1,0)</f>
        <v>0</v>
      </c>
      <c r="AH77" s="7" t="e">
        <f>#REF!</f>
        <v>#REF!</v>
      </c>
      <c r="AI77" s="7" t="e">
        <f>#REF!</f>
        <v>#REF!</v>
      </c>
      <c r="AJ77" s="8" t="str">
        <f>IFERROR(VLOOKUP(ROWS(AJ$2:AJ77),$AG$2:$AI$151,2,FALSE),"")</f>
        <v/>
      </c>
      <c r="AK77" s="8" t="str">
        <f>IFERROR(VLOOKUP(ROWS($AJ$2:AJ77),$AG$2:$AI$151,3,FALSE),"")</f>
        <v/>
      </c>
      <c r="AM77" s="7">
        <f>IF(ISNUMBER(SEARCH(#REF!,AN77)),MAX($AM$1:AM76)+1,0)</f>
        <v>0</v>
      </c>
      <c r="AN77" s="7" t="e">
        <f>#REF!</f>
        <v>#REF!</v>
      </c>
      <c r="AO77" s="7" t="e">
        <f>#REF!</f>
        <v>#REF!</v>
      </c>
      <c r="AP77" s="8" t="str">
        <f>IFERROR(VLOOKUP(ROWS($AP$2:AP77),$AM$2:$AO$151,2,FALSE),"")</f>
        <v/>
      </c>
      <c r="AQ77" s="8" t="str">
        <f>IFERROR(VLOOKUP(ROWS($AP$2:AP77),$AM$2:$AO$151,3,FALSE),"")</f>
        <v/>
      </c>
      <c r="AS77" s="9">
        <f>IF(ISNUMBER(SEARCH(#REF!,AT77)),MAX($AS$1:AS76)+1,0)</f>
        <v>0</v>
      </c>
      <c r="AT77" s="9" t="e">
        <f>#REF!</f>
        <v>#REF!</v>
      </c>
      <c r="AU77" s="9" t="e">
        <f>#REF!</f>
        <v>#REF!</v>
      </c>
      <c r="AV77" s="10" t="str">
        <f>IFERROR(VLOOKUP(ROWS(AV$2:AV77),$AS$2:$AU$151,2,FALSE),"")</f>
        <v/>
      </c>
      <c r="AW77" s="10" t="str">
        <f>IFERROR(VLOOKUP(ROWS($AV$2:AV77),$AS$2:$AU$151,3,FALSE),"")</f>
        <v/>
      </c>
      <c r="AY77" s="9">
        <f>IF(ISNUMBER(SEARCH(#REF!,AZ77)),MAX($AY$1:AY76)+1,0)</f>
        <v>0</v>
      </c>
      <c r="AZ77" s="9" t="e">
        <f>#REF!</f>
        <v>#REF!</v>
      </c>
      <c r="BA77" s="9" t="e">
        <f>#REF!</f>
        <v>#REF!</v>
      </c>
      <c r="BB77" s="10" t="str">
        <f>IFERROR(VLOOKUP(ROWS($BB$2:BB77),$AY$2:$BA$151,2,FALSE),"")</f>
        <v/>
      </c>
      <c r="BC77" s="10" t="str">
        <f>IFERROR(VLOOKUP(ROWS($BB$2:BB77),$AY$2:$BA$151,3,FALSE),"")</f>
        <v/>
      </c>
    </row>
    <row r="78" spans="3:55" x14ac:dyDescent="0.25">
      <c r="C78" s="3">
        <f>IF(ISNUMBER(SEARCH(#REF!,D78)),MAX($C$1:C77)+1,0)</f>
        <v>0</v>
      </c>
      <c r="D78" s="3" t="e">
        <f>#REF!</f>
        <v>#REF!</v>
      </c>
      <c r="E78" s="3" t="e">
        <f>#REF!</f>
        <v>#REF!</v>
      </c>
      <c r="F78" s="4" t="str">
        <f>IFERROR(VLOOKUP(ROWS($F$2:F78),$C$2:$E$151,2,FALSE),"")</f>
        <v/>
      </c>
      <c r="G78" s="4" t="str">
        <f>IFERROR(VLOOKUP(ROWS($F$2:F78),$C$2:$E$151,3,FALSE),"")</f>
        <v/>
      </c>
      <c r="I78" s="3">
        <f>IF(ISNUMBER(SEARCH(#REF!,J78)),MAX($I$1:I77)+1,0)</f>
        <v>0</v>
      </c>
      <c r="J78" s="3" t="e">
        <f>#REF!</f>
        <v>#REF!</v>
      </c>
      <c r="K78" s="3" t="e">
        <f>#REF!</f>
        <v>#REF!</v>
      </c>
      <c r="L78" s="4" t="str">
        <f>IFERROR(VLOOKUP(ROWS($L$2:L78),$I$2:$K$151,2,FALSE),"")</f>
        <v/>
      </c>
      <c r="M78" s="4" t="str">
        <f>IFERROR(VLOOKUP(ROWS($L$2:L78),$I$2:$K$151,3,FALSE),"")</f>
        <v/>
      </c>
      <c r="O78" s="3">
        <f>IF(ISNUMBER(SEARCH(#REF!,P78)),MAX($O$1:O77)+1,0)</f>
        <v>0</v>
      </c>
      <c r="P78" s="3" t="e">
        <f>#REF!</f>
        <v>#REF!</v>
      </c>
      <c r="Q78" s="3" t="e">
        <f>#REF!</f>
        <v>#REF!</v>
      </c>
      <c r="R78" s="4" t="str">
        <f>IFERROR(VLOOKUP(ROWS($R$2:R78),$O$2:$Q$151,2,FALSE),"")</f>
        <v/>
      </c>
      <c r="S78" s="4" t="str">
        <f>IFERROR(VLOOKUP(ROWS($R$2:R78),$O$2:$Q$151,3,FALSE),"")</f>
        <v/>
      </c>
      <c r="U78" s="5">
        <f>IF(ISNUMBER(SEARCH(#REF!,V78)),MAX($U$1:U77)+1,0)</f>
        <v>0</v>
      </c>
      <c r="V78" s="5" t="e">
        <f>#REF!</f>
        <v>#REF!</v>
      </c>
      <c r="W78" s="5" t="e">
        <f>#REF!</f>
        <v>#REF!</v>
      </c>
      <c r="X78" s="6" t="str">
        <f>IFERROR(VLOOKUP(ROWS($X$2:X78),$U$2:$W$151,2,FALSE),"")</f>
        <v/>
      </c>
      <c r="Y78" s="6" t="str">
        <f>IFERROR(VLOOKUP(ROWS($X$2:X78),$U$2:$W$151,3,FALSE),"")</f>
        <v/>
      </c>
      <c r="AA78" s="5">
        <f>IF(ISNUMBER(SEARCH(#REF!,AB78)),MAX($AA$1:AA77)+1,0)</f>
        <v>0</v>
      </c>
      <c r="AB78" s="5" t="e">
        <f>#REF!</f>
        <v>#REF!</v>
      </c>
      <c r="AC78" s="5" t="e">
        <f>#REF!</f>
        <v>#REF!</v>
      </c>
      <c r="AD78" s="6" t="str">
        <f>IFERROR(VLOOKUP(ROWS($AD$2:AD78),$AA$2:$AC$151,2,FALSE),"")</f>
        <v/>
      </c>
      <c r="AE78" s="6" t="str">
        <f>IFERROR(VLOOKUP(ROWS($AD$2:AD78),$AA$2:$AC$151,3,FALSE),"")</f>
        <v/>
      </c>
      <c r="AG78" s="7">
        <f>IF(ISNUMBER(SEARCH(#REF!,AH78)),MAX($AG$1:AG77)+1,0)</f>
        <v>0</v>
      </c>
      <c r="AH78" s="7" t="e">
        <f>#REF!</f>
        <v>#REF!</v>
      </c>
      <c r="AI78" s="7" t="e">
        <f>#REF!</f>
        <v>#REF!</v>
      </c>
      <c r="AJ78" s="8" t="str">
        <f>IFERROR(VLOOKUP(ROWS(AJ$2:AJ78),$AG$2:$AI$151,2,FALSE),"")</f>
        <v/>
      </c>
      <c r="AK78" s="8" t="str">
        <f>IFERROR(VLOOKUP(ROWS($AJ$2:AJ78),$AG$2:$AI$151,3,FALSE),"")</f>
        <v/>
      </c>
      <c r="AM78" s="7">
        <f>IF(ISNUMBER(SEARCH(#REF!,AN78)),MAX($AM$1:AM77)+1,0)</f>
        <v>0</v>
      </c>
      <c r="AN78" s="7" t="e">
        <f>#REF!</f>
        <v>#REF!</v>
      </c>
      <c r="AO78" s="7" t="e">
        <f>#REF!</f>
        <v>#REF!</v>
      </c>
      <c r="AP78" s="8" t="str">
        <f>IFERROR(VLOOKUP(ROWS($AP$2:AP78),$AM$2:$AO$151,2,FALSE),"")</f>
        <v/>
      </c>
      <c r="AQ78" s="8" t="str">
        <f>IFERROR(VLOOKUP(ROWS($AP$2:AP78),$AM$2:$AO$151,3,FALSE),"")</f>
        <v/>
      </c>
      <c r="AS78" s="9">
        <f>IF(ISNUMBER(SEARCH(#REF!,AT78)),MAX($AS$1:AS77)+1,0)</f>
        <v>0</v>
      </c>
      <c r="AT78" s="9" t="e">
        <f>#REF!</f>
        <v>#REF!</v>
      </c>
      <c r="AU78" s="9" t="e">
        <f>#REF!</f>
        <v>#REF!</v>
      </c>
      <c r="AV78" s="10" t="str">
        <f>IFERROR(VLOOKUP(ROWS(AV$2:AV78),$AS$2:$AU$151,2,FALSE),"")</f>
        <v/>
      </c>
      <c r="AW78" s="10" t="str">
        <f>IFERROR(VLOOKUP(ROWS($AV$2:AV78),$AS$2:$AU$151,3,FALSE),"")</f>
        <v/>
      </c>
      <c r="AY78" s="9">
        <f>IF(ISNUMBER(SEARCH(#REF!,AZ78)),MAX($AY$1:AY77)+1,0)</f>
        <v>0</v>
      </c>
      <c r="AZ78" s="9" t="e">
        <f>#REF!</f>
        <v>#REF!</v>
      </c>
      <c r="BA78" s="9" t="e">
        <f>#REF!</f>
        <v>#REF!</v>
      </c>
      <c r="BB78" s="10" t="str">
        <f>IFERROR(VLOOKUP(ROWS($BB$2:BB78),$AY$2:$BA$151,2,FALSE),"")</f>
        <v/>
      </c>
      <c r="BC78" s="10" t="str">
        <f>IFERROR(VLOOKUP(ROWS($BB$2:BB78),$AY$2:$BA$151,3,FALSE),"")</f>
        <v/>
      </c>
    </row>
    <row r="79" spans="3:55" x14ac:dyDescent="0.25">
      <c r="C79" s="3">
        <f>IF(ISNUMBER(SEARCH(#REF!,D79)),MAX($C$1:C78)+1,0)</f>
        <v>0</v>
      </c>
      <c r="D79" s="3" t="e">
        <f>#REF!</f>
        <v>#REF!</v>
      </c>
      <c r="E79" s="3" t="e">
        <f>#REF!</f>
        <v>#REF!</v>
      </c>
      <c r="F79" s="4" t="str">
        <f>IFERROR(VLOOKUP(ROWS($F$2:F79),$C$2:$E$151,2,FALSE),"")</f>
        <v/>
      </c>
      <c r="G79" s="4" t="str">
        <f>IFERROR(VLOOKUP(ROWS($F$2:F79),$C$2:$E$151,3,FALSE),"")</f>
        <v/>
      </c>
      <c r="I79" s="3">
        <f>IF(ISNUMBER(SEARCH(#REF!,J79)),MAX($I$1:I78)+1,0)</f>
        <v>0</v>
      </c>
      <c r="J79" s="3" t="e">
        <f>#REF!</f>
        <v>#REF!</v>
      </c>
      <c r="K79" s="3" t="e">
        <f>#REF!</f>
        <v>#REF!</v>
      </c>
      <c r="L79" s="4" t="str">
        <f>IFERROR(VLOOKUP(ROWS($L$2:L79),$I$2:$K$151,2,FALSE),"")</f>
        <v/>
      </c>
      <c r="M79" s="4" t="str">
        <f>IFERROR(VLOOKUP(ROWS($L$2:L79),$I$2:$K$151,3,FALSE),"")</f>
        <v/>
      </c>
      <c r="O79" s="3">
        <f>IF(ISNUMBER(SEARCH(#REF!,P79)),MAX($O$1:O78)+1,0)</f>
        <v>0</v>
      </c>
      <c r="P79" s="3" t="e">
        <f>#REF!</f>
        <v>#REF!</v>
      </c>
      <c r="Q79" s="3" t="e">
        <f>#REF!</f>
        <v>#REF!</v>
      </c>
      <c r="R79" s="4" t="str">
        <f>IFERROR(VLOOKUP(ROWS($R$2:R79),$O$2:$Q$151,2,FALSE),"")</f>
        <v/>
      </c>
      <c r="S79" s="4" t="str">
        <f>IFERROR(VLOOKUP(ROWS($R$2:R79),$O$2:$Q$151,3,FALSE),"")</f>
        <v/>
      </c>
      <c r="U79" s="5">
        <f>IF(ISNUMBER(SEARCH(#REF!,V79)),MAX($U$1:U78)+1,0)</f>
        <v>0</v>
      </c>
      <c r="V79" s="5" t="e">
        <f>#REF!</f>
        <v>#REF!</v>
      </c>
      <c r="W79" s="5" t="e">
        <f>#REF!</f>
        <v>#REF!</v>
      </c>
      <c r="X79" s="6" t="str">
        <f>IFERROR(VLOOKUP(ROWS($X$2:X79),$U$2:$W$151,2,FALSE),"")</f>
        <v/>
      </c>
      <c r="Y79" s="6" t="str">
        <f>IFERROR(VLOOKUP(ROWS($X$2:X79),$U$2:$W$151,3,FALSE),"")</f>
        <v/>
      </c>
      <c r="AA79" s="5">
        <f>IF(ISNUMBER(SEARCH(#REF!,AB79)),MAX($AA$1:AA78)+1,0)</f>
        <v>0</v>
      </c>
      <c r="AB79" s="5" t="e">
        <f>#REF!</f>
        <v>#REF!</v>
      </c>
      <c r="AC79" s="5" t="e">
        <f>#REF!</f>
        <v>#REF!</v>
      </c>
      <c r="AD79" s="6" t="str">
        <f>IFERROR(VLOOKUP(ROWS($AD$2:AD79),$AA$2:$AC$151,2,FALSE),"")</f>
        <v/>
      </c>
      <c r="AE79" s="6" t="str">
        <f>IFERROR(VLOOKUP(ROWS($AD$2:AD79),$AA$2:$AC$151,3,FALSE),"")</f>
        <v/>
      </c>
      <c r="AG79" s="7">
        <f>IF(ISNUMBER(SEARCH(#REF!,AH79)),MAX($AG$1:AG78)+1,0)</f>
        <v>0</v>
      </c>
      <c r="AH79" s="7" t="e">
        <f>#REF!</f>
        <v>#REF!</v>
      </c>
      <c r="AI79" s="7" t="e">
        <f>#REF!</f>
        <v>#REF!</v>
      </c>
      <c r="AJ79" s="8" t="str">
        <f>IFERROR(VLOOKUP(ROWS(AJ$2:AJ79),$AG$2:$AI$151,2,FALSE),"")</f>
        <v/>
      </c>
      <c r="AK79" s="8" t="str">
        <f>IFERROR(VLOOKUP(ROWS($AJ$2:AJ79),$AG$2:$AI$151,3,FALSE),"")</f>
        <v/>
      </c>
      <c r="AM79" s="7">
        <f>IF(ISNUMBER(SEARCH(#REF!,AN79)),MAX($AM$1:AM78)+1,0)</f>
        <v>0</v>
      </c>
      <c r="AN79" s="7" t="e">
        <f>#REF!</f>
        <v>#REF!</v>
      </c>
      <c r="AO79" s="7" t="e">
        <f>#REF!</f>
        <v>#REF!</v>
      </c>
      <c r="AP79" s="8" t="str">
        <f>IFERROR(VLOOKUP(ROWS($AP$2:AP79),$AM$2:$AO$151,2,FALSE),"")</f>
        <v/>
      </c>
      <c r="AQ79" s="8" t="str">
        <f>IFERROR(VLOOKUP(ROWS($AP$2:AP79),$AM$2:$AO$151,3,FALSE),"")</f>
        <v/>
      </c>
      <c r="AS79" s="9">
        <f>IF(ISNUMBER(SEARCH(#REF!,AT79)),MAX($AS$1:AS78)+1,0)</f>
        <v>0</v>
      </c>
      <c r="AT79" s="9" t="e">
        <f>#REF!</f>
        <v>#REF!</v>
      </c>
      <c r="AU79" s="9" t="e">
        <f>#REF!</f>
        <v>#REF!</v>
      </c>
      <c r="AV79" s="10" t="str">
        <f>IFERROR(VLOOKUP(ROWS(AV$2:AV79),$AS$2:$AU$151,2,FALSE),"")</f>
        <v/>
      </c>
      <c r="AW79" s="10" t="str">
        <f>IFERROR(VLOOKUP(ROWS($AV$2:AV79),$AS$2:$AU$151,3,FALSE),"")</f>
        <v/>
      </c>
      <c r="AY79" s="9">
        <f>IF(ISNUMBER(SEARCH(#REF!,AZ79)),MAX($AY$1:AY78)+1,0)</f>
        <v>0</v>
      </c>
      <c r="AZ79" s="9" t="e">
        <f>#REF!</f>
        <v>#REF!</v>
      </c>
      <c r="BA79" s="9" t="e">
        <f>#REF!</f>
        <v>#REF!</v>
      </c>
      <c r="BB79" s="10" t="str">
        <f>IFERROR(VLOOKUP(ROWS($BB$2:BB79),$AY$2:$BA$151,2,FALSE),"")</f>
        <v/>
      </c>
      <c r="BC79" s="10" t="str">
        <f>IFERROR(VLOOKUP(ROWS($BB$2:BB79),$AY$2:$BA$151,3,FALSE),"")</f>
        <v/>
      </c>
    </row>
    <row r="80" spans="3:55" x14ac:dyDescent="0.25">
      <c r="C80" s="3">
        <f>IF(ISNUMBER(SEARCH(#REF!,D80)),MAX($C$1:C79)+1,0)</f>
        <v>0</v>
      </c>
      <c r="D80" s="3" t="e">
        <f>#REF!</f>
        <v>#REF!</v>
      </c>
      <c r="E80" s="3" t="e">
        <f>#REF!</f>
        <v>#REF!</v>
      </c>
      <c r="F80" s="4" t="str">
        <f>IFERROR(VLOOKUP(ROWS($F$2:F80),$C$2:$E$151,2,FALSE),"")</f>
        <v/>
      </c>
      <c r="G80" s="4" t="str">
        <f>IFERROR(VLOOKUP(ROWS($F$2:F80),$C$2:$E$151,3,FALSE),"")</f>
        <v/>
      </c>
      <c r="I80" s="3">
        <f>IF(ISNUMBER(SEARCH(#REF!,J80)),MAX($I$1:I79)+1,0)</f>
        <v>0</v>
      </c>
      <c r="J80" s="3" t="e">
        <f>#REF!</f>
        <v>#REF!</v>
      </c>
      <c r="K80" s="3" t="e">
        <f>#REF!</f>
        <v>#REF!</v>
      </c>
      <c r="L80" s="4" t="str">
        <f>IFERROR(VLOOKUP(ROWS($L$2:L80),$I$2:$K$151,2,FALSE),"")</f>
        <v/>
      </c>
      <c r="M80" s="4" t="str">
        <f>IFERROR(VLOOKUP(ROWS($L$2:L80),$I$2:$K$151,3,FALSE),"")</f>
        <v/>
      </c>
      <c r="O80" s="3">
        <f>IF(ISNUMBER(SEARCH(#REF!,P80)),MAX($O$1:O79)+1,0)</f>
        <v>0</v>
      </c>
      <c r="P80" s="3" t="e">
        <f>#REF!</f>
        <v>#REF!</v>
      </c>
      <c r="Q80" s="3" t="e">
        <f>#REF!</f>
        <v>#REF!</v>
      </c>
      <c r="R80" s="4" t="str">
        <f>IFERROR(VLOOKUP(ROWS($R$2:R80),$O$2:$Q$151,2,FALSE),"")</f>
        <v/>
      </c>
      <c r="S80" s="4" t="str">
        <f>IFERROR(VLOOKUP(ROWS($R$2:R80),$O$2:$Q$151,3,FALSE),"")</f>
        <v/>
      </c>
      <c r="U80" s="5">
        <f>IF(ISNUMBER(SEARCH(#REF!,V80)),MAX($U$1:U79)+1,0)</f>
        <v>0</v>
      </c>
      <c r="V80" s="5" t="e">
        <f>#REF!</f>
        <v>#REF!</v>
      </c>
      <c r="W80" s="5" t="e">
        <f>#REF!</f>
        <v>#REF!</v>
      </c>
      <c r="X80" s="6" t="str">
        <f>IFERROR(VLOOKUP(ROWS($X$2:X80),$U$2:$W$151,2,FALSE),"")</f>
        <v/>
      </c>
      <c r="Y80" s="6" t="str">
        <f>IFERROR(VLOOKUP(ROWS($X$2:X80),$U$2:$W$151,3,FALSE),"")</f>
        <v/>
      </c>
      <c r="AA80" s="5">
        <f>IF(ISNUMBER(SEARCH(#REF!,AB80)),MAX($AA$1:AA79)+1,0)</f>
        <v>0</v>
      </c>
      <c r="AB80" s="5" t="e">
        <f>#REF!</f>
        <v>#REF!</v>
      </c>
      <c r="AC80" s="5" t="e">
        <f>#REF!</f>
        <v>#REF!</v>
      </c>
      <c r="AD80" s="6" t="str">
        <f>IFERROR(VLOOKUP(ROWS($AD$2:AD80),$AA$2:$AC$151,2,FALSE),"")</f>
        <v/>
      </c>
      <c r="AE80" s="6" t="str">
        <f>IFERROR(VLOOKUP(ROWS($AD$2:AD80),$AA$2:$AC$151,3,FALSE),"")</f>
        <v/>
      </c>
      <c r="AG80" s="7">
        <f>IF(ISNUMBER(SEARCH(#REF!,AH80)),MAX($AG$1:AG79)+1,0)</f>
        <v>0</v>
      </c>
      <c r="AH80" s="7" t="e">
        <f>#REF!</f>
        <v>#REF!</v>
      </c>
      <c r="AI80" s="7" t="e">
        <f>#REF!</f>
        <v>#REF!</v>
      </c>
      <c r="AJ80" s="8" t="str">
        <f>IFERROR(VLOOKUP(ROWS(AJ$2:AJ80),$AG$2:$AI$151,2,FALSE),"")</f>
        <v/>
      </c>
      <c r="AK80" s="8" t="str">
        <f>IFERROR(VLOOKUP(ROWS($AJ$2:AJ80),$AG$2:$AI$151,3,FALSE),"")</f>
        <v/>
      </c>
      <c r="AM80" s="7">
        <f>IF(ISNUMBER(SEARCH(#REF!,AN80)),MAX($AM$1:AM79)+1,0)</f>
        <v>0</v>
      </c>
      <c r="AN80" s="7" t="e">
        <f>#REF!</f>
        <v>#REF!</v>
      </c>
      <c r="AO80" s="7" t="e">
        <f>#REF!</f>
        <v>#REF!</v>
      </c>
      <c r="AP80" s="8" t="str">
        <f>IFERROR(VLOOKUP(ROWS($AP$2:AP80),$AM$2:$AO$151,2,FALSE),"")</f>
        <v/>
      </c>
      <c r="AQ80" s="8" t="str">
        <f>IFERROR(VLOOKUP(ROWS($AP$2:AP80),$AM$2:$AO$151,3,FALSE),"")</f>
        <v/>
      </c>
      <c r="AS80" s="9">
        <f>IF(ISNUMBER(SEARCH(#REF!,AT80)),MAX($AS$1:AS79)+1,0)</f>
        <v>0</v>
      </c>
      <c r="AT80" s="9" t="e">
        <f>#REF!</f>
        <v>#REF!</v>
      </c>
      <c r="AU80" s="9" t="e">
        <f>#REF!</f>
        <v>#REF!</v>
      </c>
      <c r="AV80" s="10" t="str">
        <f>IFERROR(VLOOKUP(ROWS(AV$2:AV80),$AS$2:$AU$151,2,FALSE),"")</f>
        <v/>
      </c>
      <c r="AW80" s="10" t="str">
        <f>IFERROR(VLOOKUP(ROWS($AV$2:AV80),$AS$2:$AU$151,3,FALSE),"")</f>
        <v/>
      </c>
      <c r="AY80" s="9">
        <f>IF(ISNUMBER(SEARCH(#REF!,AZ80)),MAX($AY$1:AY79)+1,0)</f>
        <v>0</v>
      </c>
      <c r="AZ80" s="9" t="e">
        <f>#REF!</f>
        <v>#REF!</v>
      </c>
      <c r="BA80" s="9" t="e">
        <f>#REF!</f>
        <v>#REF!</v>
      </c>
      <c r="BB80" s="10" t="str">
        <f>IFERROR(VLOOKUP(ROWS($BB$2:BB80),$AY$2:$BA$151,2,FALSE),"")</f>
        <v/>
      </c>
      <c r="BC80" s="10" t="str">
        <f>IFERROR(VLOOKUP(ROWS($BB$2:BB80),$AY$2:$BA$151,3,FALSE),"")</f>
        <v/>
      </c>
    </row>
    <row r="81" spans="3:55" x14ac:dyDescent="0.25">
      <c r="C81" s="3">
        <f>IF(ISNUMBER(SEARCH(#REF!,D81)),MAX($C$1:C80)+1,0)</f>
        <v>0</v>
      </c>
      <c r="D81" s="3" t="e">
        <f>#REF!</f>
        <v>#REF!</v>
      </c>
      <c r="E81" s="3" t="e">
        <f>#REF!</f>
        <v>#REF!</v>
      </c>
      <c r="F81" s="4" t="str">
        <f>IFERROR(VLOOKUP(ROWS($F$2:F81),$C$2:$E$151,2,FALSE),"")</f>
        <v/>
      </c>
      <c r="G81" s="4" t="str">
        <f>IFERROR(VLOOKUP(ROWS($F$2:F81),$C$2:$E$151,3,FALSE),"")</f>
        <v/>
      </c>
      <c r="I81" s="3">
        <f>IF(ISNUMBER(SEARCH(#REF!,J81)),MAX($I$1:I80)+1,0)</f>
        <v>0</v>
      </c>
      <c r="J81" s="3" t="e">
        <f>#REF!</f>
        <v>#REF!</v>
      </c>
      <c r="K81" s="3" t="e">
        <f>#REF!</f>
        <v>#REF!</v>
      </c>
      <c r="L81" s="4" t="str">
        <f>IFERROR(VLOOKUP(ROWS($L$2:L81),$I$2:$K$151,2,FALSE),"")</f>
        <v/>
      </c>
      <c r="M81" s="4" t="str">
        <f>IFERROR(VLOOKUP(ROWS($L$2:L81),$I$2:$K$151,3,FALSE),"")</f>
        <v/>
      </c>
      <c r="O81" s="3">
        <f>IF(ISNUMBER(SEARCH(#REF!,P81)),MAX($O$1:O80)+1,0)</f>
        <v>0</v>
      </c>
      <c r="P81" s="3" t="e">
        <f>#REF!</f>
        <v>#REF!</v>
      </c>
      <c r="Q81" s="3" t="e">
        <f>#REF!</f>
        <v>#REF!</v>
      </c>
      <c r="R81" s="4" t="str">
        <f>IFERROR(VLOOKUP(ROWS($R$2:R81),$O$2:$Q$151,2,FALSE),"")</f>
        <v/>
      </c>
      <c r="S81" s="4" t="str">
        <f>IFERROR(VLOOKUP(ROWS($R$2:R81),$O$2:$Q$151,3,FALSE),"")</f>
        <v/>
      </c>
      <c r="U81" s="5">
        <f>IF(ISNUMBER(SEARCH(#REF!,V81)),MAX($U$1:U80)+1,0)</f>
        <v>0</v>
      </c>
      <c r="V81" s="5" t="e">
        <f>#REF!</f>
        <v>#REF!</v>
      </c>
      <c r="W81" s="5" t="e">
        <f>#REF!</f>
        <v>#REF!</v>
      </c>
      <c r="X81" s="6" t="str">
        <f>IFERROR(VLOOKUP(ROWS($X$2:X81),$U$2:$W$151,2,FALSE),"")</f>
        <v/>
      </c>
      <c r="Y81" s="6" t="str">
        <f>IFERROR(VLOOKUP(ROWS($X$2:X81),$U$2:$W$151,3,FALSE),"")</f>
        <v/>
      </c>
      <c r="AA81" s="5">
        <f>IF(ISNUMBER(SEARCH(#REF!,AB81)),MAX($AA$1:AA80)+1,0)</f>
        <v>0</v>
      </c>
      <c r="AB81" s="5" t="e">
        <f>#REF!</f>
        <v>#REF!</v>
      </c>
      <c r="AC81" s="5" t="e">
        <f>#REF!</f>
        <v>#REF!</v>
      </c>
      <c r="AD81" s="6" t="str">
        <f>IFERROR(VLOOKUP(ROWS($AD$2:AD81),$AA$2:$AC$151,2,FALSE),"")</f>
        <v/>
      </c>
      <c r="AE81" s="6" t="str">
        <f>IFERROR(VLOOKUP(ROWS($AD$2:AD81),$AA$2:$AC$151,3,FALSE),"")</f>
        <v/>
      </c>
      <c r="AG81" s="7">
        <f>IF(ISNUMBER(SEARCH(#REF!,AH81)),MAX($AG$1:AG80)+1,0)</f>
        <v>0</v>
      </c>
      <c r="AH81" s="7" t="e">
        <f>#REF!</f>
        <v>#REF!</v>
      </c>
      <c r="AI81" s="7" t="e">
        <f>#REF!</f>
        <v>#REF!</v>
      </c>
      <c r="AJ81" s="8" t="str">
        <f>IFERROR(VLOOKUP(ROWS(AJ$2:AJ81),$AG$2:$AI$151,2,FALSE),"")</f>
        <v/>
      </c>
      <c r="AK81" s="8" t="str">
        <f>IFERROR(VLOOKUP(ROWS($AJ$2:AJ81),$AG$2:$AI$151,3,FALSE),"")</f>
        <v/>
      </c>
      <c r="AM81" s="7">
        <f>IF(ISNUMBER(SEARCH(#REF!,AN81)),MAX($AM$1:AM80)+1,0)</f>
        <v>0</v>
      </c>
      <c r="AN81" s="7" t="e">
        <f>#REF!</f>
        <v>#REF!</v>
      </c>
      <c r="AO81" s="7" t="e">
        <f>#REF!</f>
        <v>#REF!</v>
      </c>
      <c r="AP81" s="8" t="str">
        <f>IFERROR(VLOOKUP(ROWS($AP$2:AP81),$AM$2:$AO$151,2,FALSE),"")</f>
        <v/>
      </c>
      <c r="AQ81" s="8" t="str">
        <f>IFERROR(VLOOKUP(ROWS($AP$2:AP81),$AM$2:$AO$151,3,FALSE),"")</f>
        <v/>
      </c>
      <c r="AS81" s="9">
        <f>IF(ISNUMBER(SEARCH(#REF!,AT81)),MAX($AS$1:AS80)+1,0)</f>
        <v>0</v>
      </c>
      <c r="AT81" s="9" t="e">
        <f>#REF!</f>
        <v>#REF!</v>
      </c>
      <c r="AU81" s="9" t="e">
        <f>#REF!</f>
        <v>#REF!</v>
      </c>
      <c r="AV81" s="10" t="str">
        <f>IFERROR(VLOOKUP(ROWS(AV$2:AV81),$AS$2:$AU$151,2,FALSE),"")</f>
        <v/>
      </c>
      <c r="AW81" s="10" t="str">
        <f>IFERROR(VLOOKUP(ROWS($AV$2:AV81),$AS$2:$AU$151,3,FALSE),"")</f>
        <v/>
      </c>
      <c r="AY81" s="9">
        <f>IF(ISNUMBER(SEARCH(#REF!,AZ81)),MAX($AY$1:AY80)+1,0)</f>
        <v>0</v>
      </c>
      <c r="AZ81" s="9" t="e">
        <f>#REF!</f>
        <v>#REF!</v>
      </c>
      <c r="BA81" s="9" t="e">
        <f>#REF!</f>
        <v>#REF!</v>
      </c>
      <c r="BB81" s="10" t="str">
        <f>IFERROR(VLOOKUP(ROWS($BB$2:BB81),$AY$2:$BA$151,2,FALSE),"")</f>
        <v/>
      </c>
      <c r="BC81" s="10" t="str">
        <f>IFERROR(VLOOKUP(ROWS($BB$2:BB81),$AY$2:$BA$151,3,FALSE),"")</f>
        <v/>
      </c>
    </row>
    <row r="82" spans="3:55" x14ac:dyDescent="0.25">
      <c r="C82" s="3">
        <f>IF(ISNUMBER(SEARCH(#REF!,D82)),MAX($C$1:C81)+1,0)</f>
        <v>0</v>
      </c>
      <c r="D82" s="3" t="e">
        <f>#REF!</f>
        <v>#REF!</v>
      </c>
      <c r="E82" s="3" t="e">
        <f>#REF!</f>
        <v>#REF!</v>
      </c>
      <c r="F82" s="4" t="str">
        <f>IFERROR(VLOOKUP(ROWS($F$2:F82),$C$2:$E$151,2,FALSE),"")</f>
        <v/>
      </c>
      <c r="G82" s="4" t="str">
        <f>IFERROR(VLOOKUP(ROWS($F$2:F82),$C$2:$E$151,3,FALSE),"")</f>
        <v/>
      </c>
      <c r="I82" s="3">
        <f>IF(ISNUMBER(SEARCH(#REF!,J82)),MAX($I$1:I81)+1,0)</f>
        <v>0</v>
      </c>
      <c r="J82" s="3" t="e">
        <f>#REF!</f>
        <v>#REF!</v>
      </c>
      <c r="K82" s="3" t="e">
        <f>#REF!</f>
        <v>#REF!</v>
      </c>
      <c r="L82" s="4" t="str">
        <f>IFERROR(VLOOKUP(ROWS($L$2:L82),$I$2:$K$151,2,FALSE),"")</f>
        <v/>
      </c>
      <c r="M82" s="4" t="str">
        <f>IFERROR(VLOOKUP(ROWS($L$2:L82),$I$2:$K$151,3,FALSE),"")</f>
        <v/>
      </c>
      <c r="O82" s="3">
        <f>IF(ISNUMBER(SEARCH(#REF!,P82)),MAX($O$1:O81)+1,0)</f>
        <v>0</v>
      </c>
      <c r="P82" s="3" t="e">
        <f>#REF!</f>
        <v>#REF!</v>
      </c>
      <c r="Q82" s="3" t="e">
        <f>#REF!</f>
        <v>#REF!</v>
      </c>
      <c r="R82" s="4" t="str">
        <f>IFERROR(VLOOKUP(ROWS($R$2:R82),$O$2:$Q$151,2,FALSE),"")</f>
        <v/>
      </c>
      <c r="S82" s="4" t="str">
        <f>IFERROR(VLOOKUP(ROWS($R$2:R82),$O$2:$Q$151,3,FALSE),"")</f>
        <v/>
      </c>
      <c r="U82" s="5">
        <f>IF(ISNUMBER(SEARCH(#REF!,V82)),MAX($U$1:U81)+1,0)</f>
        <v>0</v>
      </c>
      <c r="V82" s="5" t="e">
        <f>#REF!</f>
        <v>#REF!</v>
      </c>
      <c r="W82" s="5" t="e">
        <f>#REF!</f>
        <v>#REF!</v>
      </c>
      <c r="X82" s="6" t="str">
        <f>IFERROR(VLOOKUP(ROWS($X$2:X82),$U$2:$W$151,2,FALSE),"")</f>
        <v/>
      </c>
      <c r="Y82" s="6" t="str">
        <f>IFERROR(VLOOKUP(ROWS($X$2:X82),$U$2:$W$151,3,FALSE),"")</f>
        <v/>
      </c>
      <c r="AA82" s="5">
        <f>IF(ISNUMBER(SEARCH(#REF!,AB82)),MAX($AA$1:AA81)+1,0)</f>
        <v>0</v>
      </c>
      <c r="AB82" s="5" t="e">
        <f>#REF!</f>
        <v>#REF!</v>
      </c>
      <c r="AC82" s="5" t="e">
        <f>#REF!</f>
        <v>#REF!</v>
      </c>
      <c r="AD82" s="6" t="str">
        <f>IFERROR(VLOOKUP(ROWS($AD$2:AD82),$AA$2:$AC$151,2,FALSE),"")</f>
        <v/>
      </c>
      <c r="AE82" s="6" t="str">
        <f>IFERROR(VLOOKUP(ROWS($AD$2:AD82),$AA$2:$AC$151,3,FALSE),"")</f>
        <v/>
      </c>
      <c r="AG82" s="7">
        <f>IF(ISNUMBER(SEARCH(#REF!,AH82)),MAX($AG$1:AG81)+1,0)</f>
        <v>0</v>
      </c>
      <c r="AH82" s="7" t="e">
        <f>#REF!</f>
        <v>#REF!</v>
      </c>
      <c r="AI82" s="7" t="e">
        <f>#REF!</f>
        <v>#REF!</v>
      </c>
      <c r="AJ82" s="8" t="str">
        <f>IFERROR(VLOOKUP(ROWS(AJ$2:AJ82),$AG$2:$AI$151,2,FALSE),"")</f>
        <v/>
      </c>
      <c r="AK82" s="8" t="str">
        <f>IFERROR(VLOOKUP(ROWS($AJ$2:AJ82),$AG$2:$AI$151,3,FALSE),"")</f>
        <v/>
      </c>
      <c r="AM82" s="7">
        <f>IF(ISNUMBER(SEARCH(#REF!,AN82)),MAX($AM$1:AM81)+1,0)</f>
        <v>0</v>
      </c>
      <c r="AN82" s="7" t="e">
        <f>#REF!</f>
        <v>#REF!</v>
      </c>
      <c r="AO82" s="7" t="e">
        <f>#REF!</f>
        <v>#REF!</v>
      </c>
      <c r="AP82" s="8" t="str">
        <f>IFERROR(VLOOKUP(ROWS($AP$2:AP82),$AM$2:$AO$151,2,FALSE),"")</f>
        <v/>
      </c>
      <c r="AQ82" s="8" t="str">
        <f>IFERROR(VLOOKUP(ROWS($AP$2:AP82),$AM$2:$AO$151,3,FALSE),"")</f>
        <v/>
      </c>
      <c r="AS82" s="9">
        <f>IF(ISNUMBER(SEARCH(#REF!,AT82)),MAX($AS$1:AS81)+1,0)</f>
        <v>0</v>
      </c>
      <c r="AT82" s="9" t="e">
        <f>#REF!</f>
        <v>#REF!</v>
      </c>
      <c r="AU82" s="9" t="e">
        <f>#REF!</f>
        <v>#REF!</v>
      </c>
      <c r="AV82" s="10" t="str">
        <f>IFERROR(VLOOKUP(ROWS(AV$2:AV82),$AS$2:$AU$151,2,FALSE),"")</f>
        <v/>
      </c>
      <c r="AW82" s="10" t="str">
        <f>IFERROR(VLOOKUP(ROWS($AV$2:AV82),$AS$2:$AU$151,3,FALSE),"")</f>
        <v/>
      </c>
      <c r="AY82" s="9">
        <f>IF(ISNUMBER(SEARCH(#REF!,AZ82)),MAX($AY$1:AY81)+1,0)</f>
        <v>0</v>
      </c>
      <c r="AZ82" s="9" t="e">
        <f>#REF!</f>
        <v>#REF!</v>
      </c>
      <c r="BA82" s="9" t="e">
        <f>#REF!</f>
        <v>#REF!</v>
      </c>
      <c r="BB82" s="10" t="str">
        <f>IFERROR(VLOOKUP(ROWS($BB$2:BB82),$AY$2:$BA$151,2,FALSE),"")</f>
        <v/>
      </c>
      <c r="BC82" s="10" t="str">
        <f>IFERROR(VLOOKUP(ROWS($BB$2:BB82),$AY$2:$BA$151,3,FALSE),"")</f>
        <v/>
      </c>
    </row>
    <row r="83" spans="3:55" x14ac:dyDescent="0.25">
      <c r="C83" s="3">
        <f>IF(ISNUMBER(SEARCH(#REF!,D83)),MAX($C$1:C82)+1,0)</f>
        <v>0</v>
      </c>
      <c r="D83" s="3" t="e">
        <f>#REF!</f>
        <v>#REF!</v>
      </c>
      <c r="E83" s="3" t="e">
        <f>#REF!</f>
        <v>#REF!</v>
      </c>
      <c r="F83" s="4" t="str">
        <f>IFERROR(VLOOKUP(ROWS($F$2:F83),$C$2:$E$151,2,FALSE),"")</f>
        <v/>
      </c>
      <c r="G83" s="4" t="str">
        <f>IFERROR(VLOOKUP(ROWS($F$2:F83),$C$2:$E$151,3,FALSE),"")</f>
        <v/>
      </c>
      <c r="I83" s="3">
        <f>IF(ISNUMBER(SEARCH(#REF!,J83)),MAX($I$1:I82)+1,0)</f>
        <v>0</v>
      </c>
      <c r="J83" s="3" t="e">
        <f>#REF!</f>
        <v>#REF!</v>
      </c>
      <c r="K83" s="3" t="e">
        <f>#REF!</f>
        <v>#REF!</v>
      </c>
      <c r="L83" s="4" t="str">
        <f>IFERROR(VLOOKUP(ROWS($L$2:L83),$I$2:$K$151,2,FALSE),"")</f>
        <v/>
      </c>
      <c r="M83" s="4" t="str">
        <f>IFERROR(VLOOKUP(ROWS($L$2:L83),$I$2:$K$151,3,FALSE),"")</f>
        <v/>
      </c>
      <c r="O83" s="3">
        <f>IF(ISNUMBER(SEARCH(#REF!,P83)),MAX($O$1:O82)+1,0)</f>
        <v>0</v>
      </c>
      <c r="P83" s="3" t="e">
        <f>#REF!</f>
        <v>#REF!</v>
      </c>
      <c r="Q83" s="3" t="e">
        <f>#REF!</f>
        <v>#REF!</v>
      </c>
      <c r="R83" s="4" t="str">
        <f>IFERROR(VLOOKUP(ROWS($R$2:R83),$O$2:$Q$151,2,FALSE),"")</f>
        <v/>
      </c>
      <c r="S83" s="4" t="str">
        <f>IFERROR(VLOOKUP(ROWS($R$2:R83),$O$2:$Q$151,3,FALSE),"")</f>
        <v/>
      </c>
      <c r="U83" s="5">
        <f>IF(ISNUMBER(SEARCH(#REF!,V83)),MAX($U$1:U82)+1,0)</f>
        <v>0</v>
      </c>
      <c r="V83" s="5" t="e">
        <f>#REF!</f>
        <v>#REF!</v>
      </c>
      <c r="W83" s="5" t="e">
        <f>#REF!</f>
        <v>#REF!</v>
      </c>
      <c r="X83" s="6" t="str">
        <f>IFERROR(VLOOKUP(ROWS($X$2:X83),$U$2:$W$151,2,FALSE),"")</f>
        <v/>
      </c>
      <c r="Y83" s="6" t="str">
        <f>IFERROR(VLOOKUP(ROWS($X$2:X83),$U$2:$W$151,3,FALSE),"")</f>
        <v/>
      </c>
      <c r="AA83" s="5">
        <f>IF(ISNUMBER(SEARCH(#REF!,AB83)),MAX($AA$1:AA82)+1,0)</f>
        <v>0</v>
      </c>
      <c r="AB83" s="5" t="e">
        <f>#REF!</f>
        <v>#REF!</v>
      </c>
      <c r="AC83" s="5" t="e">
        <f>#REF!</f>
        <v>#REF!</v>
      </c>
      <c r="AD83" s="6" t="str">
        <f>IFERROR(VLOOKUP(ROWS($AD$2:AD83),$AA$2:$AC$151,2,FALSE),"")</f>
        <v/>
      </c>
      <c r="AE83" s="6" t="str">
        <f>IFERROR(VLOOKUP(ROWS($AD$2:AD83),$AA$2:$AC$151,3,FALSE),"")</f>
        <v/>
      </c>
      <c r="AG83" s="7">
        <f>IF(ISNUMBER(SEARCH(#REF!,AH83)),MAX($AG$1:AG82)+1,0)</f>
        <v>0</v>
      </c>
      <c r="AH83" s="7" t="e">
        <f>#REF!</f>
        <v>#REF!</v>
      </c>
      <c r="AI83" s="7" t="e">
        <f>#REF!</f>
        <v>#REF!</v>
      </c>
      <c r="AJ83" s="8" t="str">
        <f>IFERROR(VLOOKUP(ROWS(AJ$2:AJ83),$AG$2:$AI$151,2,FALSE),"")</f>
        <v/>
      </c>
      <c r="AK83" s="8" t="str">
        <f>IFERROR(VLOOKUP(ROWS($AJ$2:AJ83),$AG$2:$AI$151,3,FALSE),"")</f>
        <v/>
      </c>
      <c r="AM83" s="7">
        <f>IF(ISNUMBER(SEARCH(#REF!,AN83)),MAX($AM$1:AM82)+1,0)</f>
        <v>0</v>
      </c>
      <c r="AN83" s="7" t="e">
        <f>#REF!</f>
        <v>#REF!</v>
      </c>
      <c r="AO83" s="7" t="e">
        <f>#REF!</f>
        <v>#REF!</v>
      </c>
      <c r="AP83" s="8" t="str">
        <f>IFERROR(VLOOKUP(ROWS($AP$2:AP83),$AM$2:$AO$151,2,FALSE),"")</f>
        <v/>
      </c>
      <c r="AQ83" s="8" t="str">
        <f>IFERROR(VLOOKUP(ROWS($AP$2:AP83),$AM$2:$AO$151,3,FALSE),"")</f>
        <v/>
      </c>
      <c r="AS83" s="9">
        <f>IF(ISNUMBER(SEARCH(#REF!,AT83)),MAX($AS$1:AS82)+1,0)</f>
        <v>0</v>
      </c>
      <c r="AT83" s="9" t="e">
        <f>#REF!</f>
        <v>#REF!</v>
      </c>
      <c r="AU83" s="9" t="e">
        <f>#REF!</f>
        <v>#REF!</v>
      </c>
      <c r="AV83" s="10" t="str">
        <f>IFERROR(VLOOKUP(ROWS(AV$2:AV83),$AS$2:$AU$151,2,FALSE),"")</f>
        <v/>
      </c>
      <c r="AW83" s="10" t="str">
        <f>IFERROR(VLOOKUP(ROWS($AV$2:AV83),$AS$2:$AU$151,3,FALSE),"")</f>
        <v/>
      </c>
      <c r="AY83" s="9">
        <f>IF(ISNUMBER(SEARCH(#REF!,AZ83)),MAX($AY$1:AY82)+1,0)</f>
        <v>0</v>
      </c>
      <c r="AZ83" s="9" t="e">
        <f>#REF!</f>
        <v>#REF!</v>
      </c>
      <c r="BA83" s="9" t="e">
        <f>#REF!</f>
        <v>#REF!</v>
      </c>
      <c r="BB83" s="10" t="str">
        <f>IFERROR(VLOOKUP(ROWS($BB$2:BB83),$AY$2:$BA$151,2,FALSE),"")</f>
        <v/>
      </c>
      <c r="BC83" s="10" t="str">
        <f>IFERROR(VLOOKUP(ROWS($BB$2:BB83),$AY$2:$BA$151,3,FALSE),"")</f>
        <v/>
      </c>
    </row>
    <row r="84" spans="3:55" x14ac:dyDescent="0.25">
      <c r="C84" s="3">
        <f>IF(ISNUMBER(SEARCH(#REF!,D84)),MAX($C$1:C83)+1,0)</f>
        <v>0</v>
      </c>
      <c r="D84" s="3" t="e">
        <f>#REF!</f>
        <v>#REF!</v>
      </c>
      <c r="E84" s="3" t="e">
        <f>#REF!</f>
        <v>#REF!</v>
      </c>
      <c r="F84" s="4" t="str">
        <f>IFERROR(VLOOKUP(ROWS($F$2:F84),$C$2:$E$151,2,FALSE),"")</f>
        <v/>
      </c>
      <c r="G84" s="4" t="str">
        <f>IFERROR(VLOOKUP(ROWS($F$2:F84),$C$2:$E$151,3,FALSE),"")</f>
        <v/>
      </c>
      <c r="I84" s="3">
        <f>IF(ISNUMBER(SEARCH(#REF!,J84)),MAX($I$1:I83)+1,0)</f>
        <v>0</v>
      </c>
      <c r="J84" s="3" t="e">
        <f>#REF!</f>
        <v>#REF!</v>
      </c>
      <c r="K84" s="3" t="e">
        <f>#REF!</f>
        <v>#REF!</v>
      </c>
      <c r="L84" s="4" t="str">
        <f>IFERROR(VLOOKUP(ROWS($L$2:L84),$I$2:$K$151,2,FALSE),"")</f>
        <v/>
      </c>
      <c r="M84" s="4" t="str">
        <f>IFERROR(VLOOKUP(ROWS($L$2:L84),$I$2:$K$151,3,FALSE),"")</f>
        <v/>
      </c>
      <c r="O84" s="3">
        <f>IF(ISNUMBER(SEARCH(#REF!,P84)),MAX($O$1:O83)+1,0)</f>
        <v>0</v>
      </c>
      <c r="P84" s="3" t="e">
        <f>#REF!</f>
        <v>#REF!</v>
      </c>
      <c r="Q84" s="3" t="e">
        <f>#REF!</f>
        <v>#REF!</v>
      </c>
      <c r="R84" s="4" t="str">
        <f>IFERROR(VLOOKUP(ROWS($R$2:R84),$O$2:$Q$151,2,FALSE),"")</f>
        <v/>
      </c>
      <c r="S84" s="4" t="str">
        <f>IFERROR(VLOOKUP(ROWS($R$2:R84),$O$2:$Q$151,3,FALSE),"")</f>
        <v/>
      </c>
      <c r="U84" s="5">
        <f>IF(ISNUMBER(SEARCH(#REF!,V84)),MAX($U$1:U83)+1,0)</f>
        <v>0</v>
      </c>
      <c r="V84" s="5" t="e">
        <f>#REF!</f>
        <v>#REF!</v>
      </c>
      <c r="W84" s="5" t="e">
        <f>#REF!</f>
        <v>#REF!</v>
      </c>
      <c r="X84" s="6" t="str">
        <f>IFERROR(VLOOKUP(ROWS($X$2:X84),$U$2:$W$151,2,FALSE),"")</f>
        <v/>
      </c>
      <c r="Y84" s="6" t="str">
        <f>IFERROR(VLOOKUP(ROWS($X$2:X84),$U$2:$W$151,3,FALSE),"")</f>
        <v/>
      </c>
      <c r="AA84" s="5">
        <f>IF(ISNUMBER(SEARCH(#REF!,AB84)),MAX($AA$1:AA83)+1,0)</f>
        <v>0</v>
      </c>
      <c r="AB84" s="5" t="e">
        <f>#REF!</f>
        <v>#REF!</v>
      </c>
      <c r="AC84" s="5" t="e">
        <f>#REF!</f>
        <v>#REF!</v>
      </c>
      <c r="AD84" s="6" t="str">
        <f>IFERROR(VLOOKUP(ROWS($AD$2:AD84),$AA$2:$AC$151,2,FALSE),"")</f>
        <v/>
      </c>
      <c r="AE84" s="6" t="str">
        <f>IFERROR(VLOOKUP(ROWS($AD$2:AD84),$AA$2:$AC$151,3,FALSE),"")</f>
        <v/>
      </c>
      <c r="AG84" s="7">
        <f>IF(ISNUMBER(SEARCH(#REF!,AH84)),MAX($AG$1:AG83)+1,0)</f>
        <v>0</v>
      </c>
      <c r="AH84" s="7" t="e">
        <f>#REF!</f>
        <v>#REF!</v>
      </c>
      <c r="AI84" s="7" t="e">
        <f>#REF!</f>
        <v>#REF!</v>
      </c>
      <c r="AJ84" s="8" t="str">
        <f>IFERROR(VLOOKUP(ROWS(AJ$2:AJ84),$AG$2:$AI$151,2,FALSE),"")</f>
        <v/>
      </c>
      <c r="AK84" s="8" t="str">
        <f>IFERROR(VLOOKUP(ROWS($AJ$2:AJ84),$AG$2:$AI$151,3,FALSE),"")</f>
        <v/>
      </c>
      <c r="AM84" s="7">
        <f>IF(ISNUMBER(SEARCH(#REF!,AN84)),MAX($AM$1:AM83)+1,0)</f>
        <v>0</v>
      </c>
      <c r="AN84" s="7" t="e">
        <f>#REF!</f>
        <v>#REF!</v>
      </c>
      <c r="AO84" s="7" t="e">
        <f>#REF!</f>
        <v>#REF!</v>
      </c>
      <c r="AP84" s="8" t="str">
        <f>IFERROR(VLOOKUP(ROWS($AP$2:AP84),$AM$2:$AO$151,2,FALSE),"")</f>
        <v/>
      </c>
      <c r="AQ84" s="8" t="str">
        <f>IFERROR(VLOOKUP(ROWS($AP$2:AP84),$AM$2:$AO$151,3,FALSE),"")</f>
        <v/>
      </c>
      <c r="AS84" s="9">
        <f>IF(ISNUMBER(SEARCH(#REF!,AT84)),MAX($AS$1:AS83)+1,0)</f>
        <v>0</v>
      </c>
      <c r="AT84" s="9" t="e">
        <f>#REF!</f>
        <v>#REF!</v>
      </c>
      <c r="AU84" s="9" t="e">
        <f>#REF!</f>
        <v>#REF!</v>
      </c>
      <c r="AV84" s="10" t="str">
        <f>IFERROR(VLOOKUP(ROWS(AV$2:AV84),$AS$2:$AU$151,2,FALSE),"")</f>
        <v/>
      </c>
      <c r="AW84" s="10" t="str">
        <f>IFERROR(VLOOKUP(ROWS($AV$2:AV84),$AS$2:$AU$151,3,FALSE),"")</f>
        <v/>
      </c>
      <c r="AY84" s="9">
        <f>IF(ISNUMBER(SEARCH(#REF!,AZ84)),MAX($AY$1:AY83)+1,0)</f>
        <v>0</v>
      </c>
      <c r="AZ84" s="9" t="e">
        <f>#REF!</f>
        <v>#REF!</v>
      </c>
      <c r="BA84" s="9" t="e">
        <f>#REF!</f>
        <v>#REF!</v>
      </c>
      <c r="BB84" s="10" t="str">
        <f>IFERROR(VLOOKUP(ROWS($BB$2:BB84),$AY$2:$BA$151,2,FALSE),"")</f>
        <v/>
      </c>
      <c r="BC84" s="10" t="str">
        <f>IFERROR(VLOOKUP(ROWS($BB$2:BB84),$AY$2:$BA$151,3,FALSE),"")</f>
        <v/>
      </c>
    </row>
    <row r="85" spans="3:55" x14ac:dyDescent="0.25">
      <c r="C85" s="3">
        <f>IF(ISNUMBER(SEARCH(#REF!,D85)),MAX($C$1:C84)+1,0)</f>
        <v>0</v>
      </c>
      <c r="D85" s="3" t="e">
        <f>#REF!</f>
        <v>#REF!</v>
      </c>
      <c r="E85" s="3" t="e">
        <f>#REF!</f>
        <v>#REF!</v>
      </c>
      <c r="F85" s="4" t="str">
        <f>IFERROR(VLOOKUP(ROWS($F$2:F85),$C$2:$E$151,2,FALSE),"")</f>
        <v/>
      </c>
      <c r="G85" s="4" t="str">
        <f>IFERROR(VLOOKUP(ROWS($F$2:F85),$C$2:$E$151,3,FALSE),"")</f>
        <v/>
      </c>
      <c r="I85" s="3">
        <f>IF(ISNUMBER(SEARCH(#REF!,J85)),MAX($I$1:I84)+1,0)</f>
        <v>0</v>
      </c>
      <c r="J85" s="3" t="e">
        <f>#REF!</f>
        <v>#REF!</v>
      </c>
      <c r="K85" s="3" t="e">
        <f>#REF!</f>
        <v>#REF!</v>
      </c>
      <c r="L85" s="4" t="str">
        <f>IFERROR(VLOOKUP(ROWS($L$2:L85),$I$2:$K$151,2,FALSE),"")</f>
        <v/>
      </c>
      <c r="M85" s="4" t="str">
        <f>IFERROR(VLOOKUP(ROWS($L$2:L85),$I$2:$K$151,3,FALSE),"")</f>
        <v/>
      </c>
      <c r="O85" s="3">
        <f>IF(ISNUMBER(SEARCH(#REF!,P85)),MAX($O$1:O84)+1,0)</f>
        <v>0</v>
      </c>
      <c r="P85" s="3" t="e">
        <f>#REF!</f>
        <v>#REF!</v>
      </c>
      <c r="Q85" s="3" t="e">
        <f>#REF!</f>
        <v>#REF!</v>
      </c>
      <c r="R85" s="4" t="str">
        <f>IFERROR(VLOOKUP(ROWS($R$2:R85),$O$2:$Q$151,2,FALSE),"")</f>
        <v/>
      </c>
      <c r="S85" s="4" t="str">
        <f>IFERROR(VLOOKUP(ROWS($R$2:R85),$O$2:$Q$151,3,FALSE),"")</f>
        <v/>
      </c>
      <c r="U85" s="5">
        <f>IF(ISNUMBER(SEARCH(#REF!,V85)),MAX($U$1:U84)+1,0)</f>
        <v>0</v>
      </c>
      <c r="V85" s="5" t="e">
        <f>#REF!</f>
        <v>#REF!</v>
      </c>
      <c r="W85" s="5" t="e">
        <f>#REF!</f>
        <v>#REF!</v>
      </c>
      <c r="X85" s="6" t="str">
        <f>IFERROR(VLOOKUP(ROWS($X$2:X85),$U$2:$W$151,2,FALSE),"")</f>
        <v/>
      </c>
      <c r="Y85" s="6" t="str">
        <f>IFERROR(VLOOKUP(ROWS($X$2:X85),$U$2:$W$151,3,FALSE),"")</f>
        <v/>
      </c>
      <c r="AA85" s="5">
        <f>IF(ISNUMBER(SEARCH(#REF!,AB85)),MAX($AA$1:AA84)+1,0)</f>
        <v>0</v>
      </c>
      <c r="AB85" s="5" t="e">
        <f>#REF!</f>
        <v>#REF!</v>
      </c>
      <c r="AC85" s="5" t="e">
        <f>#REF!</f>
        <v>#REF!</v>
      </c>
      <c r="AD85" s="6" t="str">
        <f>IFERROR(VLOOKUP(ROWS($AD$2:AD85),$AA$2:$AC$151,2,FALSE),"")</f>
        <v/>
      </c>
      <c r="AE85" s="6" t="str">
        <f>IFERROR(VLOOKUP(ROWS($AD$2:AD85),$AA$2:$AC$151,3,FALSE),"")</f>
        <v/>
      </c>
      <c r="AG85" s="7">
        <f>IF(ISNUMBER(SEARCH(#REF!,AH85)),MAX($AG$1:AG84)+1,0)</f>
        <v>0</v>
      </c>
      <c r="AH85" s="7" t="e">
        <f>#REF!</f>
        <v>#REF!</v>
      </c>
      <c r="AI85" s="7" t="e">
        <f>#REF!</f>
        <v>#REF!</v>
      </c>
      <c r="AJ85" s="8" t="str">
        <f>IFERROR(VLOOKUP(ROWS(AJ$2:AJ85),$AG$2:$AI$151,2,FALSE),"")</f>
        <v/>
      </c>
      <c r="AK85" s="8" t="str">
        <f>IFERROR(VLOOKUP(ROWS($AJ$2:AJ85),$AG$2:$AI$151,3,FALSE),"")</f>
        <v/>
      </c>
      <c r="AM85" s="7">
        <f>IF(ISNUMBER(SEARCH(#REF!,AN85)),MAX($AM$1:AM84)+1,0)</f>
        <v>0</v>
      </c>
      <c r="AN85" s="7" t="e">
        <f>#REF!</f>
        <v>#REF!</v>
      </c>
      <c r="AO85" s="7" t="e">
        <f>#REF!</f>
        <v>#REF!</v>
      </c>
      <c r="AP85" s="8" t="str">
        <f>IFERROR(VLOOKUP(ROWS($AP$2:AP85),$AM$2:$AO$151,2,FALSE),"")</f>
        <v/>
      </c>
      <c r="AQ85" s="8" t="str">
        <f>IFERROR(VLOOKUP(ROWS($AP$2:AP85),$AM$2:$AO$151,3,FALSE),"")</f>
        <v/>
      </c>
      <c r="AS85" s="9">
        <f>IF(ISNUMBER(SEARCH(#REF!,AT85)),MAX($AS$1:AS84)+1,0)</f>
        <v>0</v>
      </c>
      <c r="AT85" s="9" t="e">
        <f>#REF!</f>
        <v>#REF!</v>
      </c>
      <c r="AU85" s="9" t="e">
        <f>#REF!</f>
        <v>#REF!</v>
      </c>
      <c r="AV85" s="10" t="str">
        <f>IFERROR(VLOOKUP(ROWS(AV$2:AV85),$AS$2:$AU$151,2,FALSE),"")</f>
        <v/>
      </c>
      <c r="AW85" s="10" t="str">
        <f>IFERROR(VLOOKUP(ROWS($AV$2:AV85),$AS$2:$AU$151,3,FALSE),"")</f>
        <v/>
      </c>
      <c r="AY85" s="9">
        <f>IF(ISNUMBER(SEARCH(#REF!,AZ85)),MAX($AY$1:AY84)+1,0)</f>
        <v>0</v>
      </c>
      <c r="AZ85" s="9" t="e">
        <f>#REF!</f>
        <v>#REF!</v>
      </c>
      <c r="BA85" s="9" t="e">
        <f>#REF!</f>
        <v>#REF!</v>
      </c>
      <c r="BB85" s="10" t="str">
        <f>IFERROR(VLOOKUP(ROWS($BB$2:BB85),$AY$2:$BA$151,2,FALSE),"")</f>
        <v/>
      </c>
      <c r="BC85" s="10" t="str">
        <f>IFERROR(VLOOKUP(ROWS($BB$2:BB85),$AY$2:$BA$151,3,FALSE),"")</f>
        <v/>
      </c>
    </row>
    <row r="86" spans="3:55" x14ac:dyDescent="0.25">
      <c r="C86" s="3">
        <f>IF(ISNUMBER(SEARCH(#REF!,D86)),MAX($C$1:C85)+1,0)</f>
        <v>0</v>
      </c>
      <c r="D86" s="3" t="e">
        <f>#REF!</f>
        <v>#REF!</v>
      </c>
      <c r="E86" s="3" t="e">
        <f>#REF!</f>
        <v>#REF!</v>
      </c>
      <c r="F86" s="4" t="str">
        <f>IFERROR(VLOOKUP(ROWS($F$2:F86),$C$2:$E$151,2,FALSE),"")</f>
        <v/>
      </c>
      <c r="G86" s="4" t="str">
        <f>IFERROR(VLOOKUP(ROWS($F$2:F86),$C$2:$E$151,3,FALSE),"")</f>
        <v/>
      </c>
      <c r="I86" s="3">
        <f>IF(ISNUMBER(SEARCH(#REF!,J86)),MAX($I$1:I85)+1,0)</f>
        <v>0</v>
      </c>
      <c r="J86" s="3" t="e">
        <f>#REF!</f>
        <v>#REF!</v>
      </c>
      <c r="K86" s="3" t="e">
        <f>#REF!</f>
        <v>#REF!</v>
      </c>
      <c r="L86" s="4" t="str">
        <f>IFERROR(VLOOKUP(ROWS($L$2:L86),$I$2:$K$151,2,FALSE),"")</f>
        <v/>
      </c>
      <c r="M86" s="4" t="str">
        <f>IFERROR(VLOOKUP(ROWS($L$2:L86),$I$2:$K$151,3,FALSE),"")</f>
        <v/>
      </c>
      <c r="O86" s="3">
        <f>IF(ISNUMBER(SEARCH(#REF!,P86)),MAX($O$1:O85)+1,0)</f>
        <v>0</v>
      </c>
      <c r="P86" s="3" t="e">
        <f>#REF!</f>
        <v>#REF!</v>
      </c>
      <c r="Q86" s="3" t="e">
        <f>#REF!</f>
        <v>#REF!</v>
      </c>
      <c r="R86" s="4" t="str">
        <f>IFERROR(VLOOKUP(ROWS($R$2:R86),$O$2:$Q$151,2,FALSE),"")</f>
        <v/>
      </c>
      <c r="S86" s="4" t="str">
        <f>IFERROR(VLOOKUP(ROWS($R$2:R86),$O$2:$Q$151,3,FALSE),"")</f>
        <v/>
      </c>
      <c r="U86" s="5">
        <f>IF(ISNUMBER(SEARCH(#REF!,V86)),MAX($U$1:U85)+1,0)</f>
        <v>0</v>
      </c>
      <c r="V86" s="5" t="e">
        <f>#REF!</f>
        <v>#REF!</v>
      </c>
      <c r="W86" s="5" t="e">
        <f>#REF!</f>
        <v>#REF!</v>
      </c>
      <c r="X86" s="6" t="str">
        <f>IFERROR(VLOOKUP(ROWS($X$2:X86),$U$2:$W$151,2,FALSE),"")</f>
        <v/>
      </c>
      <c r="Y86" s="6" t="str">
        <f>IFERROR(VLOOKUP(ROWS($X$2:X86),$U$2:$W$151,3,FALSE),"")</f>
        <v/>
      </c>
      <c r="AA86" s="5">
        <f>IF(ISNUMBER(SEARCH(#REF!,AB86)),MAX($AA$1:AA85)+1,0)</f>
        <v>0</v>
      </c>
      <c r="AB86" s="5" t="e">
        <f>#REF!</f>
        <v>#REF!</v>
      </c>
      <c r="AC86" s="5" t="e">
        <f>#REF!</f>
        <v>#REF!</v>
      </c>
      <c r="AD86" s="6" t="str">
        <f>IFERROR(VLOOKUP(ROWS($AD$2:AD86),$AA$2:$AC$151,2,FALSE),"")</f>
        <v/>
      </c>
      <c r="AE86" s="6" t="str">
        <f>IFERROR(VLOOKUP(ROWS($AD$2:AD86),$AA$2:$AC$151,3,FALSE),"")</f>
        <v/>
      </c>
      <c r="AG86" s="7">
        <f>IF(ISNUMBER(SEARCH(#REF!,AH86)),MAX($AG$1:AG85)+1,0)</f>
        <v>0</v>
      </c>
      <c r="AH86" s="7" t="e">
        <f>#REF!</f>
        <v>#REF!</v>
      </c>
      <c r="AI86" s="7" t="e">
        <f>#REF!</f>
        <v>#REF!</v>
      </c>
      <c r="AJ86" s="8" t="str">
        <f>IFERROR(VLOOKUP(ROWS(AJ$2:AJ86),$AG$2:$AI$151,2,FALSE),"")</f>
        <v/>
      </c>
      <c r="AK86" s="8" t="str">
        <f>IFERROR(VLOOKUP(ROWS($AJ$2:AJ86),$AG$2:$AI$151,3,FALSE),"")</f>
        <v/>
      </c>
      <c r="AM86" s="7">
        <f>IF(ISNUMBER(SEARCH(#REF!,AN86)),MAX($AM$1:AM85)+1,0)</f>
        <v>0</v>
      </c>
      <c r="AN86" s="7" t="e">
        <f>#REF!</f>
        <v>#REF!</v>
      </c>
      <c r="AO86" s="7" t="e">
        <f>#REF!</f>
        <v>#REF!</v>
      </c>
      <c r="AP86" s="8" t="str">
        <f>IFERROR(VLOOKUP(ROWS($AP$2:AP86),$AM$2:$AO$151,2,FALSE),"")</f>
        <v/>
      </c>
      <c r="AQ86" s="8" t="str">
        <f>IFERROR(VLOOKUP(ROWS($AP$2:AP86),$AM$2:$AO$151,3,FALSE),"")</f>
        <v/>
      </c>
      <c r="AS86" s="9">
        <f>IF(ISNUMBER(SEARCH(#REF!,AT86)),MAX($AS$1:AS85)+1,0)</f>
        <v>0</v>
      </c>
      <c r="AT86" s="9" t="e">
        <f>#REF!</f>
        <v>#REF!</v>
      </c>
      <c r="AU86" s="9" t="e">
        <f>#REF!</f>
        <v>#REF!</v>
      </c>
      <c r="AV86" s="10" t="str">
        <f>IFERROR(VLOOKUP(ROWS(AV$2:AV86),$AS$2:$AU$151,2,FALSE),"")</f>
        <v/>
      </c>
      <c r="AW86" s="10" t="str">
        <f>IFERROR(VLOOKUP(ROWS($AV$2:AV86),$AS$2:$AU$151,3,FALSE),"")</f>
        <v/>
      </c>
      <c r="AY86" s="9">
        <f>IF(ISNUMBER(SEARCH(#REF!,AZ86)),MAX($AY$1:AY85)+1,0)</f>
        <v>0</v>
      </c>
      <c r="AZ86" s="9" t="e">
        <f>#REF!</f>
        <v>#REF!</v>
      </c>
      <c r="BA86" s="9" t="e">
        <f>#REF!</f>
        <v>#REF!</v>
      </c>
      <c r="BB86" s="10" t="str">
        <f>IFERROR(VLOOKUP(ROWS($BB$2:BB86),$AY$2:$BA$151,2,FALSE),"")</f>
        <v/>
      </c>
      <c r="BC86" s="10" t="str">
        <f>IFERROR(VLOOKUP(ROWS($BB$2:BB86),$AY$2:$BA$151,3,FALSE),"")</f>
        <v/>
      </c>
    </row>
    <row r="87" spans="3:55" x14ac:dyDescent="0.25">
      <c r="C87" s="3">
        <f>IF(ISNUMBER(SEARCH(#REF!,D87)),MAX($C$1:C86)+1,0)</f>
        <v>0</v>
      </c>
      <c r="D87" s="3" t="e">
        <f>#REF!</f>
        <v>#REF!</v>
      </c>
      <c r="E87" s="3" t="e">
        <f>#REF!</f>
        <v>#REF!</v>
      </c>
      <c r="F87" s="4" t="str">
        <f>IFERROR(VLOOKUP(ROWS($F$2:F87),$C$2:$E$151,2,FALSE),"")</f>
        <v/>
      </c>
      <c r="G87" s="4" t="str">
        <f>IFERROR(VLOOKUP(ROWS($F$2:F87),$C$2:$E$151,3,FALSE),"")</f>
        <v/>
      </c>
      <c r="I87" s="3">
        <f>IF(ISNUMBER(SEARCH(#REF!,J87)),MAX($I$1:I86)+1,0)</f>
        <v>0</v>
      </c>
      <c r="J87" s="3" t="e">
        <f>#REF!</f>
        <v>#REF!</v>
      </c>
      <c r="K87" s="3" t="e">
        <f>#REF!</f>
        <v>#REF!</v>
      </c>
      <c r="L87" s="4" t="str">
        <f>IFERROR(VLOOKUP(ROWS($L$2:L87),$I$2:$K$151,2,FALSE),"")</f>
        <v/>
      </c>
      <c r="M87" s="4" t="str">
        <f>IFERROR(VLOOKUP(ROWS($L$2:L87),$I$2:$K$151,3,FALSE),"")</f>
        <v/>
      </c>
      <c r="O87" s="3">
        <f>IF(ISNUMBER(SEARCH(#REF!,P87)),MAX($O$1:O86)+1,0)</f>
        <v>0</v>
      </c>
      <c r="P87" s="3" t="e">
        <f>#REF!</f>
        <v>#REF!</v>
      </c>
      <c r="Q87" s="3" t="e">
        <f>#REF!</f>
        <v>#REF!</v>
      </c>
      <c r="R87" s="4" t="str">
        <f>IFERROR(VLOOKUP(ROWS($R$2:R87),$O$2:$Q$151,2,FALSE),"")</f>
        <v/>
      </c>
      <c r="S87" s="4" t="str">
        <f>IFERROR(VLOOKUP(ROWS($R$2:R87),$O$2:$Q$151,3,FALSE),"")</f>
        <v/>
      </c>
      <c r="U87" s="5">
        <f>IF(ISNUMBER(SEARCH(#REF!,V87)),MAX($U$1:U86)+1,0)</f>
        <v>0</v>
      </c>
      <c r="V87" s="5" t="e">
        <f>#REF!</f>
        <v>#REF!</v>
      </c>
      <c r="W87" s="5" t="e">
        <f>#REF!</f>
        <v>#REF!</v>
      </c>
      <c r="X87" s="6" t="str">
        <f>IFERROR(VLOOKUP(ROWS($X$2:X87),$U$2:$W$151,2,FALSE),"")</f>
        <v/>
      </c>
      <c r="Y87" s="6" t="str">
        <f>IFERROR(VLOOKUP(ROWS($X$2:X87),$U$2:$W$151,3,FALSE),"")</f>
        <v/>
      </c>
      <c r="AA87" s="5">
        <f>IF(ISNUMBER(SEARCH(#REF!,AB87)),MAX($AA$1:AA86)+1,0)</f>
        <v>0</v>
      </c>
      <c r="AB87" s="5" t="e">
        <f>#REF!</f>
        <v>#REF!</v>
      </c>
      <c r="AC87" s="5" t="e">
        <f>#REF!</f>
        <v>#REF!</v>
      </c>
      <c r="AD87" s="6" t="str">
        <f>IFERROR(VLOOKUP(ROWS($AD$2:AD87),$AA$2:$AC$151,2,FALSE),"")</f>
        <v/>
      </c>
      <c r="AE87" s="6" t="str">
        <f>IFERROR(VLOOKUP(ROWS($AD$2:AD87),$AA$2:$AC$151,3,FALSE),"")</f>
        <v/>
      </c>
      <c r="AG87" s="7">
        <f>IF(ISNUMBER(SEARCH(#REF!,AH87)),MAX($AG$1:AG86)+1,0)</f>
        <v>0</v>
      </c>
      <c r="AH87" s="7" t="e">
        <f>#REF!</f>
        <v>#REF!</v>
      </c>
      <c r="AI87" s="7" t="e">
        <f>#REF!</f>
        <v>#REF!</v>
      </c>
      <c r="AJ87" s="8" t="str">
        <f>IFERROR(VLOOKUP(ROWS(AJ$2:AJ87),$AG$2:$AI$151,2,FALSE),"")</f>
        <v/>
      </c>
      <c r="AK87" s="8" t="str">
        <f>IFERROR(VLOOKUP(ROWS($AJ$2:AJ87),$AG$2:$AI$151,3,FALSE),"")</f>
        <v/>
      </c>
      <c r="AM87" s="7">
        <f>IF(ISNUMBER(SEARCH(#REF!,AN87)),MAX($AM$1:AM86)+1,0)</f>
        <v>0</v>
      </c>
      <c r="AN87" s="7" t="e">
        <f>#REF!</f>
        <v>#REF!</v>
      </c>
      <c r="AO87" s="7" t="e">
        <f>#REF!</f>
        <v>#REF!</v>
      </c>
      <c r="AP87" s="8" t="str">
        <f>IFERROR(VLOOKUP(ROWS($AP$2:AP87),$AM$2:$AO$151,2,FALSE),"")</f>
        <v/>
      </c>
      <c r="AQ87" s="8" t="str">
        <f>IFERROR(VLOOKUP(ROWS($AP$2:AP87),$AM$2:$AO$151,3,FALSE),"")</f>
        <v/>
      </c>
      <c r="AS87" s="9">
        <f>IF(ISNUMBER(SEARCH(#REF!,AT87)),MAX($AS$1:AS86)+1,0)</f>
        <v>0</v>
      </c>
      <c r="AT87" s="9" t="e">
        <f>#REF!</f>
        <v>#REF!</v>
      </c>
      <c r="AU87" s="9" t="e">
        <f>#REF!</f>
        <v>#REF!</v>
      </c>
      <c r="AV87" s="10" t="str">
        <f>IFERROR(VLOOKUP(ROWS(AV$2:AV87),$AS$2:$AU$151,2,FALSE),"")</f>
        <v/>
      </c>
      <c r="AW87" s="10" t="str">
        <f>IFERROR(VLOOKUP(ROWS($AV$2:AV87),$AS$2:$AU$151,3,FALSE),"")</f>
        <v/>
      </c>
      <c r="AY87" s="9">
        <f>IF(ISNUMBER(SEARCH(#REF!,AZ87)),MAX($AY$1:AY86)+1,0)</f>
        <v>0</v>
      </c>
      <c r="AZ87" s="9" t="e">
        <f>#REF!</f>
        <v>#REF!</v>
      </c>
      <c r="BA87" s="9" t="e">
        <f>#REF!</f>
        <v>#REF!</v>
      </c>
      <c r="BB87" s="10" t="str">
        <f>IFERROR(VLOOKUP(ROWS($BB$2:BB87),$AY$2:$BA$151,2,FALSE),"")</f>
        <v/>
      </c>
      <c r="BC87" s="10" t="str">
        <f>IFERROR(VLOOKUP(ROWS($BB$2:BB87),$AY$2:$BA$151,3,FALSE),"")</f>
        <v/>
      </c>
    </row>
    <row r="88" spans="3:55" x14ac:dyDescent="0.25">
      <c r="C88" s="3">
        <f>IF(ISNUMBER(SEARCH(#REF!,D88)),MAX($C$1:C87)+1,0)</f>
        <v>0</v>
      </c>
      <c r="D88" s="3" t="e">
        <f>#REF!</f>
        <v>#REF!</v>
      </c>
      <c r="E88" s="3" t="e">
        <f>#REF!</f>
        <v>#REF!</v>
      </c>
      <c r="F88" s="4" t="str">
        <f>IFERROR(VLOOKUP(ROWS($F$2:F88),$C$2:$E$151,2,FALSE),"")</f>
        <v/>
      </c>
      <c r="G88" s="4" t="str">
        <f>IFERROR(VLOOKUP(ROWS($F$2:F88),$C$2:$E$151,3,FALSE),"")</f>
        <v/>
      </c>
      <c r="I88" s="3">
        <f>IF(ISNUMBER(SEARCH(#REF!,J88)),MAX($I$1:I87)+1,0)</f>
        <v>0</v>
      </c>
      <c r="J88" s="3" t="e">
        <f>#REF!</f>
        <v>#REF!</v>
      </c>
      <c r="K88" s="3" t="e">
        <f>#REF!</f>
        <v>#REF!</v>
      </c>
      <c r="L88" s="4" t="str">
        <f>IFERROR(VLOOKUP(ROWS($L$2:L88),$I$2:$K$151,2,FALSE),"")</f>
        <v/>
      </c>
      <c r="M88" s="4" t="str">
        <f>IFERROR(VLOOKUP(ROWS($L$2:L88),$I$2:$K$151,3,FALSE),"")</f>
        <v/>
      </c>
      <c r="O88" s="3">
        <f>IF(ISNUMBER(SEARCH(#REF!,P88)),MAX($O$1:O87)+1,0)</f>
        <v>0</v>
      </c>
      <c r="P88" s="3" t="e">
        <f>#REF!</f>
        <v>#REF!</v>
      </c>
      <c r="Q88" s="3" t="e">
        <f>#REF!</f>
        <v>#REF!</v>
      </c>
      <c r="R88" s="4" t="str">
        <f>IFERROR(VLOOKUP(ROWS($R$2:R88),$O$2:$Q$151,2,FALSE),"")</f>
        <v/>
      </c>
      <c r="S88" s="4" t="str">
        <f>IFERROR(VLOOKUP(ROWS($R$2:R88),$O$2:$Q$151,3,FALSE),"")</f>
        <v/>
      </c>
      <c r="U88" s="5">
        <f>IF(ISNUMBER(SEARCH(#REF!,V88)),MAX($U$1:U87)+1,0)</f>
        <v>0</v>
      </c>
      <c r="V88" s="5" t="e">
        <f>#REF!</f>
        <v>#REF!</v>
      </c>
      <c r="W88" s="5" t="e">
        <f>#REF!</f>
        <v>#REF!</v>
      </c>
      <c r="X88" s="6" t="str">
        <f>IFERROR(VLOOKUP(ROWS($X$2:X88),$U$2:$W$151,2,FALSE),"")</f>
        <v/>
      </c>
      <c r="Y88" s="6" t="str">
        <f>IFERROR(VLOOKUP(ROWS($X$2:X88),$U$2:$W$151,3,FALSE),"")</f>
        <v/>
      </c>
      <c r="AA88" s="5">
        <f>IF(ISNUMBER(SEARCH(#REF!,AB88)),MAX($AA$1:AA87)+1,0)</f>
        <v>0</v>
      </c>
      <c r="AB88" s="5" t="e">
        <f>#REF!</f>
        <v>#REF!</v>
      </c>
      <c r="AC88" s="5" t="e">
        <f>#REF!</f>
        <v>#REF!</v>
      </c>
      <c r="AD88" s="6" t="str">
        <f>IFERROR(VLOOKUP(ROWS($AD$2:AD88),$AA$2:$AC$151,2,FALSE),"")</f>
        <v/>
      </c>
      <c r="AE88" s="6" t="str">
        <f>IFERROR(VLOOKUP(ROWS($AD$2:AD88),$AA$2:$AC$151,3,FALSE),"")</f>
        <v/>
      </c>
      <c r="AG88" s="7">
        <f>IF(ISNUMBER(SEARCH(#REF!,AH88)),MAX($AG$1:AG87)+1,0)</f>
        <v>0</v>
      </c>
      <c r="AH88" s="7" t="e">
        <f>#REF!</f>
        <v>#REF!</v>
      </c>
      <c r="AI88" s="7" t="e">
        <f>#REF!</f>
        <v>#REF!</v>
      </c>
      <c r="AJ88" s="8" t="str">
        <f>IFERROR(VLOOKUP(ROWS(AJ$2:AJ88),$AG$2:$AI$151,2,FALSE),"")</f>
        <v/>
      </c>
      <c r="AK88" s="8" t="str">
        <f>IFERROR(VLOOKUP(ROWS($AJ$2:AJ88),$AG$2:$AI$151,3,FALSE),"")</f>
        <v/>
      </c>
      <c r="AM88" s="7">
        <f>IF(ISNUMBER(SEARCH(#REF!,AN88)),MAX($AM$1:AM87)+1,0)</f>
        <v>0</v>
      </c>
      <c r="AN88" s="7" t="e">
        <f>#REF!</f>
        <v>#REF!</v>
      </c>
      <c r="AO88" s="7" t="e">
        <f>#REF!</f>
        <v>#REF!</v>
      </c>
      <c r="AP88" s="8" t="str">
        <f>IFERROR(VLOOKUP(ROWS($AP$2:AP88),$AM$2:$AO$151,2,FALSE),"")</f>
        <v/>
      </c>
      <c r="AQ88" s="8" t="str">
        <f>IFERROR(VLOOKUP(ROWS($AP$2:AP88),$AM$2:$AO$151,3,FALSE),"")</f>
        <v/>
      </c>
      <c r="AS88" s="9">
        <f>IF(ISNUMBER(SEARCH(#REF!,AT88)),MAX($AS$1:AS87)+1,0)</f>
        <v>0</v>
      </c>
      <c r="AT88" s="9" t="e">
        <f>#REF!</f>
        <v>#REF!</v>
      </c>
      <c r="AU88" s="9" t="e">
        <f>#REF!</f>
        <v>#REF!</v>
      </c>
      <c r="AV88" s="10" t="str">
        <f>IFERROR(VLOOKUP(ROWS(AV$2:AV88),$AS$2:$AU$151,2,FALSE),"")</f>
        <v/>
      </c>
      <c r="AW88" s="10" t="str">
        <f>IFERROR(VLOOKUP(ROWS($AV$2:AV88),$AS$2:$AU$151,3,FALSE),"")</f>
        <v/>
      </c>
      <c r="AY88" s="9">
        <f>IF(ISNUMBER(SEARCH(#REF!,AZ88)),MAX($AY$1:AY87)+1,0)</f>
        <v>0</v>
      </c>
      <c r="AZ88" s="9" t="e">
        <f>#REF!</f>
        <v>#REF!</v>
      </c>
      <c r="BA88" s="9" t="e">
        <f>#REF!</f>
        <v>#REF!</v>
      </c>
      <c r="BB88" s="10" t="str">
        <f>IFERROR(VLOOKUP(ROWS($BB$2:BB88),$AY$2:$BA$151,2,FALSE),"")</f>
        <v/>
      </c>
      <c r="BC88" s="10" t="str">
        <f>IFERROR(VLOOKUP(ROWS($BB$2:BB88),$AY$2:$BA$151,3,FALSE),"")</f>
        <v/>
      </c>
    </row>
    <row r="89" spans="3:55" x14ac:dyDescent="0.25">
      <c r="C89" s="3">
        <f>IF(ISNUMBER(SEARCH(#REF!,D89)),MAX($C$1:C88)+1,0)</f>
        <v>0</v>
      </c>
      <c r="D89" s="3" t="e">
        <f>#REF!</f>
        <v>#REF!</v>
      </c>
      <c r="E89" s="3" t="e">
        <f>#REF!</f>
        <v>#REF!</v>
      </c>
      <c r="F89" s="4" t="str">
        <f>IFERROR(VLOOKUP(ROWS($F$2:F89),$C$2:$E$151,2,FALSE),"")</f>
        <v/>
      </c>
      <c r="G89" s="4" t="str">
        <f>IFERROR(VLOOKUP(ROWS($F$2:F89),$C$2:$E$151,3,FALSE),"")</f>
        <v/>
      </c>
      <c r="I89" s="3">
        <f>IF(ISNUMBER(SEARCH(#REF!,J89)),MAX($I$1:I88)+1,0)</f>
        <v>0</v>
      </c>
      <c r="J89" s="3" t="e">
        <f>#REF!</f>
        <v>#REF!</v>
      </c>
      <c r="K89" s="3" t="e">
        <f>#REF!</f>
        <v>#REF!</v>
      </c>
      <c r="L89" s="4" t="str">
        <f>IFERROR(VLOOKUP(ROWS($L$2:L89),$I$2:$K$151,2,FALSE),"")</f>
        <v/>
      </c>
      <c r="M89" s="4" t="str">
        <f>IFERROR(VLOOKUP(ROWS($L$2:L89),$I$2:$K$151,3,FALSE),"")</f>
        <v/>
      </c>
      <c r="O89" s="3">
        <f>IF(ISNUMBER(SEARCH(#REF!,P89)),MAX($O$1:O88)+1,0)</f>
        <v>0</v>
      </c>
      <c r="P89" s="3" t="e">
        <f>#REF!</f>
        <v>#REF!</v>
      </c>
      <c r="Q89" s="3" t="e">
        <f>#REF!</f>
        <v>#REF!</v>
      </c>
      <c r="R89" s="4" t="str">
        <f>IFERROR(VLOOKUP(ROWS($R$2:R89),$O$2:$Q$151,2,FALSE),"")</f>
        <v/>
      </c>
      <c r="S89" s="4" t="str">
        <f>IFERROR(VLOOKUP(ROWS($R$2:R89),$O$2:$Q$151,3,FALSE),"")</f>
        <v/>
      </c>
      <c r="U89" s="5">
        <f>IF(ISNUMBER(SEARCH(#REF!,V89)),MAX($U$1:U88)+1,0)</f>
        <v>0</v>
      </c>
      <c r="V89" s="5" t="e">
        <f>#REF!</f>
        <v>#REF!</v>
      </c>
      <c r="W89" s="5" t="e">
        <f>#REF!</f>
        <v>#REF!</v>
      </c>
      <c r="X89" s="6" t="str">
        <f>IFERROR(VLOOKUP(ROWS($X$2:X89),$U$2:$W$151,2,FALSE),"")</f>
        <v/>
      </c>
      <c r="Y89" s="6" t="str">
        <f>IFERROR(VLOOKUP(ROWS($X$2:X89),$U$2:$W$151,3,FALSE),"")</f>
        <v/>
      </c>
      <c r="AA89" s="5">
        <f>IF(ISNUMBER(SEARCH(#REF!,AB89)),MAX($AA$1:AA88)+1,0)</f>
        <v>0</v>
      </c>
      <c r="AB89" s="5" t="e">
        <f>#REF!</f>
        <v>#REF!</v>
      </c>
      <c r="AC89" s="5" t="e">
        <f>#REF!</f>
        <v>#REF!</v>
      </c>
      <c r="AD89" s="6" t="str">
        <f>IFERROR(VLOOKUP(ROWS($AD$2:AD89),$AA$2:$AC$151,2,FALSE),"")</f>
        <v/>
      </c>
      <c r="AE89" s="6" t="str">
        <f>IFERROR(VLOOKUP(ROWS($AD$2:AD89),$AA$2:$AC$151,3,FALSE),"")</f>
        <v/>
      </c>
      <c r="AG89" s="7">
        <f>IF(ISNUMBER(SEARCH(#REF!,AH89)),MAX($AG$1:AG88)+1,0)</f>
        <v>0</v>
      </c>
      <c r="AH89" s="7" t="e">
        <f>#REF!</f>
        <v>#REF!</v>
      </c>
      <c r="AI89" s="7" t="e">
        <f>#REF!</f>
        <v>#REF!</v>
      </c>
      <c r="AJ89" s="8" t="str">
        <f>IFERROR(VLOOKUP(ROWS(AJ$2:AJ89),$AG$2:$AI$151,2,FALSE),"")</f>
        <v/>
      </c>
      <c r="AK89" s="8" t="str">
        <f>IFERROR(VLOOKUP(ROWS($AJ$2:AJ89),$AG$2:$AI$151,3,FALSE),"")</f>
        <v/>
      </c>
      <c r="AM89" s="7">
        <f>IF(ISNUMBER(SEARCH(#REF!,AN89)),MAX($AM$1:AM88)+1,0)</f>
        <v>0</v>
      </c>
      <c r="AN89" s="7" t="e">
        <f>#REF!</f>
        <v>#REF!</v>
      </c>
      <c r="AO89" s="7" t="e">
        <f>#REF!</f>
        <v>#REF!</v>
      </c>
      <c r="AP89" s="8" t="str">
        <f>IFERROR(VLOOKUP(ROWS($AP$2:AP89),$AM$2:$AO$151,2,FALSE),"")</f>
        <v/>
      </c>
      <c r="AQ89" s="8" t="str">
        <f>IFERROR(VLOOKUP(ROWS($AP$2:AP89),$AM$2:$AO$151,3,FALSE),"")</f>
        <v/>
      </c>
      <c r="AS89" s="9">
        <f>IF(ISNUMBER(SEARCH(#REF!,AT89)),MAX($AS$1:AS88)+1,0)</f>
        <v>0</v>
      </c>
      <c r="AT89" s="9" t="e">
        <f>#REF!</f>
        <v>#REF!</v>
      </c>
      <c r="AU89" s="9" t="e">
        <f>#REF!</f>
        <v>#REF!</v>
      </c>
      <c r="AV89" s="10" t="str">
        <f>IFERROR(VLOOKUP(ROWS(AV$2:AV89),$AS$2:$AU$151,2,FALSE),"")</f>
        <v/>
      </c>
      <c r="AW89" s="10" t="str">
        <f>IFERROR(VLOOKUP(ROWS($AV$2:AV89),$AS$2:$AU$151,3,FALSE),"")</f>
        <v/>
      </c>
      <c r="AY89" s="9">
        <f>IF(ISNUMBER(SEARCH(#REF!,AZ89)),MAX($AY$1:AY88)+1,0)</f>
        <v>0</v>
      </c>
      <c r="AZ89" s="9" t="e">
        <f>#REF!</f>
        <v>#REF!</v>
      </c>
      <c r="BA89" s="9" t="e">
        <f>#REF!</f>
        <v>#REF!</v>
      </c>
      <c r="BB89" s="10" t="str">
        <f>IFERROR(VLOOKUP(ROWS($BB$2:BB89),$AY$2:$BA$151,2,FALSE),"")</f>
        <v/>
      </c>
      <c r="BC89" s="10" t="str">
        <f>IFERROR(VLOOKUP(ROWS($BB$2:BB89),$AY$2:$BA$151,3,FALSE),"")</f>
        <v/>
      </c>
    </row>
    <row r="90" spans="3:55" x14ac:dyDescent="0.25">
      <c r="C90" s="3">
        <f>IF(ISNUMBER(SEARCH(#REF!,D90)),MAX($C$1:C89)+1,0)</f>
        <v>0</v>
      </c>
      <c r="D90" s="3" t="e">
        <f>#REF!</f>
        <v>#REF!</v>
      </c>
      <c r="E90" s="3" t="e">
        <f>#REF!</f>
        <v>#REF!</v>
      </c>
      <c r="F90" s="4" t="str">
        <f>IFERROR(VLOOKUP(ROWS($F$2:F90),$C$2:$E$151,2,FALSE),"")</f>
        <v/>
      </c>
      <c r="G90" s="4" t="str">
        <f>IFERROR(VLOOKUP(ROWS($F$2:F90),$C$2:$E$151,3,FALSE),"")</f>
        <v/>
      </c>
      <c r="I90" s="3">
        <f>IF(ISNUMBER(SEARCH(#REF!,J90)),MAX($I$1:I89)+1,0)</f>
        <v>0</v>
      </c>
      <c r="J90" s="3" t="e">
        <f>#REF!</f>
        <v>#REF!</v>
      </c>
      <c r="K90" s="3" t="e">
        <f>#REF!</f>
        <v>#REF!</v>
      </c>
      <c r="L90" s="4" t="str">
        <f>IFERROR(VLOOKUP(ROWS($L$2:L90),$I$2:$K$151,2,FALSE),"")</f>
        <v/>
      </c>
      <c r="M90" s="4" t="str">
        <f>IFERROR(VLOOKUP(ROWS($L$2:L90),$I$2:$K$151,3,FALSE),"")</f>
        <v/>
      </c>
      <c r="O90" s="3">
        <f>IF(ISNUMBER(SEARCH(#REF!,P90)),MAX($O$1:O89)+1,0)</f>
        <v>0</v>
      </c>
      <c r="P90" s="3" t="e">
        <f>#REF!</f>
        <v>#REF!</v>
      </c>
      <c r="Q90" s="3" t="e">
        <f>#REF!</f>
        <v>#REF!</v>
      </c>
      <c r="R90" s="4" t="str">
        <f>IFERROR(VLOOKUP(ROWS($R$2:R90),$O$2:$Q$151,2,FALSE),"")</f>
        <v/>
      </c>
      <c r="S90" s="4" t="str">
        <f>IFERROR(VLOOKUP(ROWS($R$2:R90),$O$2:$Q$151,3,FALSE),"")</f>
        <v/>
      </c>
      <c r="U90" s="5">
        <f>IF(ISNUMBER(SEARCH(#REF!,V90)),MAX($U$1:U89)+1,0)</f>
        <v>0</v>
      </c>
      <c r="V90" s="5" t="e">
        <f>#REF!</f>
        <v>#REF!</v>
      </c>
      <c r="W90" s="5" t="e">
        <f>#REF!</f>
        <v>#REF!</v>
      </c>
      <c r="X90" s="6" t="str">
        <f>IFERROR(VLOOKUP(ROWS($X$2:X90),$U$2:$W$151,2,FALSE),"")</f>
        <v/>
      </c>
      <c r="Y90" s="6" t="str">
        <f>IFERROR(VLOOKUP(ROWS($X$2:X90),$U$2:$W$151,3,FALSE),"")</f>
        <v/>
      </c>
      <c r="AA90" s="5">
        <f>IF(ISNUMBER(SEARCH(#REF!,AB90)),MAX($AA$1:AA89)+1,0)</f>
        <v>0</v>
      </c>
      <c r="AB90" s="5" t="e">
        <f>#REF!</f>
        <v>#REF!</v>
      </c>
      <c r="AC90" s="5" t="e">
        <f>#REF!</f>
        <v>#REF!</v>
      </c>
      <c r="AD90" s="6" t="str">
        <f>IFERROR(VLOOKUP(ROWS($AD$2:AD90),$AA$2:$AC$151,2,FALSE),"")</f>
        <v/>
      </c>
      <c r="AE90" s="6" t="str">
        <f>IFERROR(VLOOKUP(ROWS($AD$2:AD90),$AA$2:$AC$151,3,FALSE),"")</f>
        <v/>
      </c>
      <c r="AG90" s="7">
        <f>IF(ISNUMBER(SEARCH(#REF!,AH90)),MAX($AG$1:AG89)+1,0)</f>
        <v>0</v>
      </c>
      <c r="AH90" s="7" t="e">
        <f>#REF!</f>
        <v>#REF!</v>
      </c>
      <c r="AI90" s="7" t="e">
        <f>#REF!</f>
        <v>#REF!</v>
      </c>
      <c r="AJ90" s="8" t="str">
        <f>IFERROR(VLOOKUP(ROWS(AJ$2:AJ90),$AG$2:$AI$151,2,FALSE),"")</f>
        <v/>
      </c>
      <c r="AK90" s="8" t="str">
        <f>IFERROR(VLOOKUP(ROWS($AJ$2:AJ90),$AG$2:$AI$151,3,FALSE),"")</f>
        <v/>
      </c>
      <c r="AM90" s="7">
        <f>IF(ISNUMBER(SEARCH(#REF!,AN90)),MAX($AM$1:AM89)+1,0)</f>
        <v>0</v>
      </c>
      <c r="AN90" s="7" t="e">
        <f>#REF!</f>
        <v>#REF!</v>
      </c>
      <c r="AO90" s="7" t="e">
        <f>#REF!</f>
        <v>#REF!</v>
      </c>
      <c r="AP90" s="8" t="str">
        <f>IFERROR(VLOOKUP(ROWS($AP$2:AP90),$AM$2:$AO$151,2,FALSE),"")</f>
        <v/>
      </c>
      <c r="AQ90" s="8" t="str">
        <f>IFERROR(VLOOKUP(ROWS($AP$2:AP90),$AM$2:$AO$151,3,FALSE),"")</f>
        <v/>
      </c>
      <c r="AS90" s="9">
        <f>IF(ISNUMBER(SEARCH(#REF!,AT90)),MAX($AS$1:AS89)+1,0)</f>
        <v>0</v>
      </c>
      <c r="AT90" s="9" t="e">
        <f>#REF!</f>
        <v>#REF!</v>
      </c>
      <c r="AU90" s="9" t="e">
        <f>#REF!</f>
        <v>#REF!</v>
      </c>
      <c r="AV90" s="10" t="str">
        <f>IFERROR(VLOOKUP(ROWS(AV$2:AV90),$AS$2:$AU$151,2,FALSE),"")</f>
        <v/>
      </c>
      <c r="AW90" s="10" t="str">
        <f>IFERROR(VLOOKUP(ROWS($AV$2:AV90),$AS$2:$AU$151,3,FALSE),"")</f>
        <v/>
      </c>
      <c r="AY90" s="9">
        <f>IF(ISNUMBER(SEARCH(#REF!,AZ90)),MAX($AY$1:AY89)+1,0)</f>
        <v>0</v>
      </c>
      <c r="AZ90" s="9" t="e">
        <f>#REF!</f>
        <v>#REF!</v>
      </c>
      <c r="BA90" s="9" t="e">
        <f>#REF!</f>
        <v>#REF!</v>
      </c>
      <c r="BB90" s="10" t="str">
        <f>IFERROR(VLOOKUP(ROWS($BB$2:BB90),$AY$2:$BA$151,2,FALSE),"")</f>
        <v/>
      </c>
      <c r="BC90" s="10" t="str">
        <f>IFERROR(VLOOKUP(ROWS($BB$2:BB90),$AY$2:$BA$151,3,FALSE),"")</f>
        <v/>
      </c>
    </row>
    <row r="91" spans="3:55" x14ac:dyDescent="0.25">
      <c r="C91" s="3">
        <f>IF(ISNUMBER(SEARCH(#REF!,D91)),MAX($C$1:C90)+1,0)</f>
        <v>0</v>
      </c>
      <c r="D91" s="3" t="e">
        <f>#REF!</f>
        <v>#REF!</v>
      </c>
      <c r="E91" s="3" t="e">
        <f>#REF!</f>
        <v>#REF!</v>
      </c>
      <c r="F91" s="4" t="str">
        <f>IFERROR(VLOOKUP(ROWS($F$2:F91),$C$2:$E$151,2,FALSE),"")</f>
        <v/>
      </c>
      <c r="G91" s="4" t="str">
        <f>IFERROR(VLOOKUP(ROWS($F$2:F91),$C$2:$E$151,3,FALSE),"")</f>
        <v/>
      </c>
      <c r="I91" s="3">
        <f>IF(ISNUMBER(SEARCH(#REF!,J91)),MAX($I$1:I90)+1,0)</f>
        <v>0</v>
      </c>
      <c r="J91" s="3" t="e">
        <f>#REF!</f>
        <v>#REF!</v>
      </c>
      <c r="K91" s="3" t="e">
        <f>#REF!</f>
        <v>#REF!</v>
      </c>
      <c r="L91" s="4" t="str">
        <f>IFERROR(VLOOKUP(ROWS($L$2:L91),$I$2:$K$151,2,FALSE),"")</f>
        <v/>
      </c>
      <c r="M91" s="4" t="str">
        <f>IFERROR(VLOOKUP(ROWS($L$2:L91),$I$2:$K$151,3,FALSE),"")</f>
        <v/>
      </c>
      <c r="O91" s="3">
        <f>IF(ISNUMBER(SEARCH(#REF!,P91)),MAX($O$1:O90)+1,0)</f>
        <v>0</v>
      </c>
      <c r="P91" s="3" t="e">
        <f>#REF!</f>
        <v>#REF!</v>
      </c>
      <c r="Q91" s="3" t="e">
        <f>#REF!</f>
        <v>#REF!</v>
      </c>
      <c r="R91" s="4" t="str">
        <f>IFERROR(VLOOKUP(ROWS($R$2:R91),$O$2:$Q$151,2,FALSE),"")</f>
        <v/>
      </c>
      <c r="S91" s="4" t="str">
        <f>IFERROR(VLOOKUP(ROWS($R$2:R91),$O$2:$Q$151,3,FALSE),"")</f>
        <v/>
      </c>
      <c r="U91" s="5">
        <f>IF(ISNUMBER(SEARCH(#REF!,V91)),MAX($U$1:U90)+1,0)</f>
        <v>0</v>
      </c>
      <c r="V91" s="5" t="e">
        <f>#REF!</f>
        <v>#REF!</v>
      </c>
      <c r="W91" s="5" t="e">
        <f>#REF!</f>
        <v>#REF!</v>
      </c>
      <c r="X91" s="6" t="str">
        <f>IFERROR(VLOOKUP(ROWS($X$2:X91),$U$2:$W$151,2,FALSE),"")</f>
        <v/>
      </c>
      <c r="Y91" s="6" t="str">
        <f>IFERROR(VLOOKUP(ROWS($X$2:X91),$U$2:$W$151,3,FALSE),"")</f>
        <v/>
      </c>
      <c r="AA91" s="5">
        <f>IF(ISNUMBER(SEARCH(#REF!,AB91)),MAX($AA$1:AA90)+1,0)</f>
        <v>0</v>
      </c>
      <c r="AB91" s="5" t="e">
        <f>#REF!</f>
        <v>#REF!</v>
      </c>
      <c r="AC91" s="5" t="e">
        <f>#REF!</f>
        <v>#REF!</v>
      </c>
      <c r="AD91" s="6" t="str">
        <f>IFERROR(VLOOKUP(ROWS($AD$2:AD91),$AA$2:$AC$151,2,FALSE),"")</f>
        <v/>
      </c>
      <c r="AE91" s="6" t="str">
        <f>IFERROR(VLOOKUP(ROWS($AD$2:AD91),$AA$2:$AC$151,3,FALSE),"")</f>
        <v/>
      </c>
      <c r="AG91" s="7">
        <f>IF(ISNUMBER(SEARCH(#REF!,AH91)),MAX($AG$1:AG90)+1,0)</f>
        <v>0</v>
      </c>
      <c r="AH91" s="7" t="e">
        <f>#REF!</f>
        <v>#REF!</v>
      </c>
      <c r="AI91" s="7" t="e">
        <f>#REF!</f>
        <v>#REF!</v>
      </c>
      <c r="AJ91" s="8" t="str">
        <f>IFERROR(VLOOKUP(ROWS(AJ$2:AJ91),$AG$2:$AI$151,2,FALSE),"")</f>
        <v/>
      </c>
      <c r="AK91" s="8" t="str">
        <f>IFERROR(VLOOKUP(ROWS($AJ$2:AJ91),$AG$2:$AI$151,3,FALSE),"")</f>
        <v/>
      </c>
      <c r="AM91" s="7">
        <f>IF(ISNUMBER(SEARCH(#REF!,AN91)),MAX($AM$1:AM90)+1,0)</f>
        <v>0</v>
      </c>
      <c r="AN91" s="7" t="e">
        <f>#REF!</f>
        <v>#REF!</v>
      </c>
      <c r="AO91" s="7" t="e">
        <f>#REF!</f>
        <v>#REF!</v>
      </c>
      <c r="AP91" s="8" t="str">
        <f>IFERROR(VLOOKUP(ROWS($AP$2:AP91),$AM$2:$AO$151,2,FALSE),"")</f>
        <v/>
      </c>
      <c r="AQ91" s="8" t="str">
        <f>IFERROR(VLOOKUP(ROWS($AP$2:AP91),$AM$2:$AO$151,3,FALSE),"")</f>
        <v/>
      </c>
      <c r="AS91" s="9">
        <f>IF(ISNUMBER(SEARCH(#REF!,AT91)),MAX($AS$1:AS90)+1,0)</f>
        <v>0</v>
      </c>
      <c r="AT91" s="9" t="e">
        <f>#REF!</f>
        <v>#REF!</v>
      </c>
      <c r="AU91" s="9" t="e">
        <f>#REF!</f>
        <v>#REF!</v>
      </c>
      <c r="AV91" s="10" t="str">
        <f>IFERROR(VLOOKUP(ROWS(AV$2:AV91),$AS$2:$AU$151,2,FALSE),"")</f>
        <v/>
      </c>
      <c r="AW91" s="10" t="str">
        <f>IFERROR(VLOOKUP(ROWS($AV$2:AV91),$AS$2:$AU$151,3,FALSE),"")</f>
        <v/>
      </c>
      <c r="AY91" s="9">
        <f>IF(ISNUMBER(SEARCH(#REF!,AZ91)),MAX($AY$1:AY90)+1,0)</f>
        <v>0</v>
      </c>
      <c r="AZ91" s="9" t="e">
        <f>#REF!</f>
        <v>#REF!</v>
      </c>
      <c r="BA91" s="9" t="e">
        <f>#REF!</f>
        <v>#REF!</v>
      </c>
      <c r="BB91" s="10" t="str">
        <f>IFERROR(VLOOKUP(ROWS($BB$2:BB91),$AY$2:$BA$151,2,FALSE),"")</f>
        <v/>
      </c>
      <c r="BC91" s="10" t="str">
        <f>IFERROR(VLOOKUP(ROWS($BB$2:BB91),$AY$2:$BA$151,3,FALSE),"")</f>
        <v/>
      </c>
    </row>
    <row r="92" spans="3:55" x14ac:dyDescent="0.25">
      <c r="C92" s="3">
        <f>IF(ISNUMBER(SEARCH(#REF!,D92)),MAX($C$1:C91)+1,0)</f>
        <v>0</v>
      </c>
      <c r="D92" s="3" t="e">
        <f>#REF!</f>
        <v>#REF!</v>
      </c>
      <c r="E92" s="3" t="e">
        <f>#REF!</f>
        <v>#REF!</v>
      </c>
      <c r="F92" s="4" t="str">
        <f>IFERROR(VLOOKUP(ROWS($F$2:F92),$C$2:$E$151,2,FALSE),"")</f>
        <v/>
      </c>
      <c r="G92" s="4" t="str">
        <f>IFERROR(VLOOKUP(ROWS($F$2:F92),$C$2:$E$151,3,FALSE),"")</f>
        <v/>
      </c>
      <c r="I92" s="3">
        <f>IF(ISNUMBER(SEARCH(#REF!,J92)),MAX($I$1:I91)+1,0)</f>
        <v>0</v>
      </c>
      <c r="J92" s="3" t="e">
        <f>#REF!</f>
        <v>#REF!</v>
      </c>
      <c r="K92" s="3" t="e">
        <f>#REF!</f>
        <v>#REF!</v>
      </c>
      <c r="L92" s="4" t="str">
        <f>IFERROR(VLOOKUP(ROWS($L$2:L92),$I$2:$K$151,2,FALSE),"")</f>
        <v/>
      </c>
      <c r="M92" s="4" t="str">
        <f>IFERROR(VLOOKUP(ROWS($L$2:L92),$I$2:$K$151,3,FALSE),"")</f>
        <v/>
      </c>
      <c r="O92" s="3">
        <f>IF(ISNUMBER(SEARCH(#REF!,P92)),MAX($O$1:O91)+1,0)</f>
        <v>0</v>
      </c>
      <c r="P92" s="3" t="e">
        <f>#REF!</f>
        <v>#REF!</v>
      </c>
      <c r="Q92" s="3" t="e">
        <f>#REF!</f>
        <v>#REF!</v>
      </c>
      <c r="R92" s="4" t="str">
        <f>IFERROR(VLOOKUP(ROWS($R$2:R92),$O$2:$Q$151,2,FALSE),"")</f>
        <v/>
      </c>
      <c r="S92" s="4" t="str">
        <f>IFERROR(VLOOKUP(ROWS($R$2:R92),$O$2:$Q$151,3,FALSE),"")</f>
        <v/>
      </c>
      <c r="U92" s="5">
        <f>IF(ISNUMBER(SEARCH(#REF!,V92)),MAX($U$1:U91)+1,0)</f>
        <v>0</v>
      </c>
      <c r="V92" s="5" t="e">
        <f>#REF!</f>
        <v>#REF!</v>
      </c>
      <c r="W92" s="5" t="e">
        <f>#REF!</f>
        <v>#REF!</v>
      </c>
      <c r="X92" s="6" t="str">
        <f>IFERROR(VLOOKUP(ROWS($X$2:X92),$U$2:$W$151,2,FALSE),"")</f>
        <v/>
      </c>
      <c r="Y92" s="6" t="str">
        <f>IFERROR(VLOOKUP(ROWS($X$2:X92),$U$2:$W$151,3,FALSE),"")</f>
        <v/>
      </c>
      <c r="AA92" s="5">
        <f>IF(ISNUMBER(SEARCH(#REF!,AB92)),MAX($AA$1:AA91)+1,0)</f>
        <v>0</v>
      </c>
      <c r="AB92" s="5" t="e">
        <f>#REF!</f>
        <v>#REF!</v>
      </c>
      <c r="AC92" s="5" t="e">
        <f>#REF!</f>
        <v>#REF!</v>
      </c>
      <c r="AD92" s="6" t="str">
        <f>IFERROR(VLOOKUP(ROWS($AD$2:AD92),$AA$2:$AC$151,2,FALSE),"")</f>
        <v/>
      </c>
      <c r="AE92" s="6" t="str">
        <f>IFERROR(VLOOKUP(ROWS($AD$2:AD92),$AA$2:$AC$151,3,FALSE),"")</f>
        <v/>
      </c>
      <c r="AG92" s="7">
        <f>IF(ISNUMBER(SEARCH(#REF!,AH92)),MAX($AG$1:AG91)+1,0)</f>
        <v>0</v>
      </c>
      <c r="AH92" s="7" t="e">
        <f>#REF!</f>
        <v>#REF!</v>
      </c>
      <c r="AI92" s="7" t="e">
        <f>#REF!</f>
        <v>#REF!</v>
      </c>
      <c r="AJ92" s="8" t="str">
        <f>IFERROR(VLOOKUP(ROWS(AJ$2:AJ92),$AG$2:$AI$151,2,FALSE),"")</f>
        <v/>
      </c>
      <c r="AK92" s="8" t="str">
        <f>IFERROR(VLOOKUP(ROWS($AJ$2:AJ92),$AG$2:$AI$151,3,FALSE),"")</f>
        <v/>
      </c>
      <c r="AM92" s="7">
        <f>IF(ISNUMBER(SEARCH(#REF!,AN92)),MAX($AM$1:AM91)+1,0)</f>
        <v>0</v>
      </c>
      <c r="AN92" s="7" t="e">
        <f>#REF!</f>
        <v>#REF!</v>
      </c>
      <c r="AO92" s="7" t="e">
        <f>#REF!</f>
        <v>#REF!</v>
      </c>
      <c r="AP92" s="8" t="str">
        <f>IFERROR(VLOOKUP(ROWS($AP$2:AP92),$AM$2:$AO$151,2,FALSE),"")</f>
        <v/>
      </c>
      <c r="AQ92" s="8" t="str">
        <f>IFERROR(VLOOKUP(ROWS($AP$2:AP92),$AM$2:$AO$151,3,FALSE),"")</f>
        <v/>
      </c>
      <c r="AS92" s="9">
        <f>IF(ISNUMBER(SEARCH(#REF!,AT92)),MAX($AS$1:AS91)+1,0)</f>
        <v>0</v>
      </c>
      <c r="AT92" s="9" t="e">
        <f>#REF!</f>
        <v>#REF!</v>
      </c>
      <c r="AU92" s="9" t="e">
        <f>#REF!</f>
        <v>#REF!</v>
      </c>
      <c r="AV92" s="10" t="str">
        <f>IFERROR(VLOOKUP(ROWS(AV$2:AV92),$AS$2:$AU$151,2,FALSE),"")</f>
        <v/>
      </c>
      <c r="AW92" s="10" t="str">
        <f>IFERROR(VLOOKUP(ROWS($AV$2:AV92),$AS$2:$AU$151,3,FALSE),"")</f>
        <v/>
      </c>
      <c r="AY92" s="9">
        <f>IF(ISNUMBER(SEARCH(#REF!,AZ92)),MAX($AY$1:AY91)+1,0)</f>
        <v>0</v>
      </c>
      <c r="AZ92" s="9" t="e">
        <f>#REF!</f>
        <v>#REF!</v>
      </c>
      <c r="BA92" s="9" t="e">
        <f>#REF!</f>
        <v>#REF!</v>
      </c>
      <c r="BB92" s="10" t="str">
        <f>IFERROR(VLOOKUP(ROWS($BB$2:BB92),$AY$2:$BA$151,2,FALSE),"")</f>
        <v/>
      </c>
      <c r="BC92" s="10" t="str">
        <f>IFERROR(VLOOKUP(ROWS($BB$2:BB92),$AY$2:$BA$151,3,FALSE),"")</f>
        <v/>
      </c>
    </row>
    <row r="93" spans="3:55" x14ac:dyDescent="0.25">
      <c r="C93" s="3">
        <f>IF(ISNUMBER(SEARCH(#REF!,D93)),MAX($C$1:C92)+1,0)</f>
        <v>0</v>
      </c>
      <c r="D93" s="3" t="e">
        <f>#REF!</f>
        <v>#REF!</v>
      </c>
      <c r="E93" s="3" t="e">
        <f>#REF!</f>
        <v>#REF!</v>
      </c>
      <c r="F93" s="4" t="str">
        <f>IFERROR(VLOOKUP(ROWS($F$2:F93),$C$2:$E$151,2,FALSE),"")</f>
        <v/>
      </c>
      <c r="G93" s="4" t="str">
        <f>IFERROR(VLOOKUP(ROWS($F$2:F93),$C$2:$E$151,3,FALSE),"")</f>
        <v/>
      </c>
      <c r="I93" s="3">
        <f>IF(ISNUMBER(SEARCH(#REF!,J93)),MAX($I$1:I92)+1,0)</f>
        <v>0</v>
      </c>
      <c r="J93" s="3" t="e">
        <f>#REF!</f>
        <v>#REF!</v>
      </c>
      <c r="K93" s="3" t="e">
        <f>#REF!</f>
        <v>#REF!</v>
      </c>
      <c r="L93" s="4" t="str">
        <f>IFERROR(VLOOKUP(ROWS($L$2:L93),$I$2:$K$151,2,FALSE),"")</f>
        <v/>
      </c>
      <c r="M93" s="4" t="str">
        <f>IFERROR(VLOOKUP(ROWS($L$2:L93),$I$2:$K$151,3,FALSE),"")</f>
        <v/>
      </c>
      <c r="O93" s="3">
        <f>IF(ISNUMBER(SEARCH(#REF!,P93)),MAX($O$1:O92)+1,0)</f>
        <v>0</v>
      </c>
      <c r="P93" s="3" t="e">
        <f>#REF!</f>
        <v>#REF!</v>
      </c>
      <c r="Q93" s="3" t="e">
        <f>#REF!</f>
        <v>#REF!</v>
      </c>
      <c r="R93" s="4" t="str">
        <f>IFERROR(VLOOKUP(ROWS($R$2:R93),$O$2:$Q$151,2,FALSE),"")</f>
        <v/>
      </c>
      <c r="S93" s="4" t="str">
        <f>IFERROR(VLOOKUP(ROWS($R$2:R93),$O$2:$Q$151,3,FALSE),"")</f>
        <v/>
      </c>
      <c r="U93" s="5">
        <f>IF(ISNUMBER(SEARCH(#REF!,V93)),MAX($U$1:U92)+1,0)</f>
        <v>0</v>
      </c>
      <c r="V93" s="5" t="e">
        <f>#REF!</f>
        <v>#REF!</v>
      </c>
      <c r="W93" s="5" t="e">
        <f>#REF!</f>
        <v>#REF!</v>
      </c>
      <c r="X93" s="6" t="str">
        <f>IFERROR(VLOOKUP(ROWS($X$2:X93),$U$2:$W$151,2,FALSE),"")</f>
        <v/>
      </c>
      <c r="Y93" s="6" t="str">
        <f>IFERROR(VLOOKUP(ROWS($X$2:X93),$U$2:$W$151,3,FALSE),"")</f>
        <v/>
      </c>
      <c r="AA93" s="5">
        <f>IF(ISNUMBER(SEARCH(#REF!,AB93)),MAX($AA$1:AA92)+1,0)</f>
        <v>0</v>
      </c>
      <c r="AB93" s="5" t="e">
        <f>#REF!</f>
        <v>#REF!</v>
      </c>
      <c r="AC93" s="5" t="e">
        <f>#REF!</f>
        <v>#REF!</v>
      </c>
      <c r="AD93" s="6" t="str">
        <f>IFERROR(VLOOKUP(ROWS($AD$2:AD93),$AA$2:$AC$151,2,FALSE),"")</f>
        <v/>
      </c>
      <c r="AE93" s="6" t="str">
        <f>IFERROR(VLOOKUP(ROWS($AD$2:AD93),$AA$2:$AC$151,3,FALSE),"")</f>
        <v/>
      </c>
      <c r="AG93" s="7">
        <f>IF(ISNUMBER(SEARCH(#REF!,AH93)),MAX($AG$1:AG92)+1,0)</f>
        <v>0</v>
      </c>
      <c r="AH93" s="7" t="e">
        <f>#REF!</f>
        <v>#REF!</v>
      </c>
      <c r="AI93" s="7" t="e">
        <f>#REF!</f>
        <v>#REF!</v>
      </c>
      <c r="AJ93" s="8" t="str">
        <f>IFERROR(VLOOKUP(ROWS(AJ$2:AJ93),$AG$2:$AI$151,2,FALSE),"")</f>
        <v/>
      </c>
      <c r="AK93" s="8" t="str">
        <f>IFERROR(VLOOKUP(ROWS($AJ$2:AJ93),$AG$2:$AI$151,3,FALSE),"")</f>
        <v/>
      </c>
      <c r="AM93" s="7">
        <f>IF(ISNUMBER(SEARCH(#REF!,AN93)),MAX($AM$1:AM92)+1,0)</f>
        <v>0</v>
      </c>
      <c r="AN93" s="7" t="e">
        <f>#REF!</f>
        <v>#REF!</v>
      </c>
      <c r="AO93" s="7" t="e">
        <f>#REF!</f>
        <v>#REF!</v>
      </c>
      <c r="AP93" s="8" t="str">
        <f>IFERROR(VLOOKUP(ROWS($AP$2:AP93),$AM$2:$AO$151,2,FALSE),"")</f>
        <v/>
      </c>
      <c r="AQ93" s="8" t="str">
        <f>IFERROR(VLOOKUP(ROWS($AP$2:AP93),$AM$2:$AO$151,3,FALSE),"")</f>
        <v/>
      </c>
      <c r="AS93" s="9">
        <f>IF(ISNUMBER(SEARCH(#REF!,AT93)),MAX($AS$1:AS92)+1,0)</f>
        <v>0</v>
      </c>
      <c r="AT93" s="9" t="e">
        <f>#REF!</f>
        <v>#REF!</v>
      </c>
      <c r="AU93" s="9" t="e">
        <f>#REF!</f>
        <v>#REF!</v>
      </c>
      <c r="AV93" s="10" t="str">
        <f>IFERROR(VLOOKUP(ROWS(AV$2:AV93),$AS$2:$AU$151,2,FALSE),"")</f>
        <v/>
      </c>
      <c r="AW93" s="10" t="str">
        <f>IFERROR(VLOOKUP(ROWS($AV$2:AV93),$AS$2:$AU$151,3,FALSE),"")</f>
        <v/>
      </c>
      <c r="AY93" s="9">
        <f>IF(ISNUMBER(SEARCH(#REF!,AZ93)),MAX($AY$1:AY92)+1,0)</f>
        <v>0</v>
      </c>
      <c r="AZ93" s="9" t="e">
        <f>#REF!</f>
        <v>#REF!</v>
      </c>
      <c r="BA93" s="9" t="e">
        <f>#REF!</f>
        <v>#REF!</v>
      </c>
      <c r="BB93" s="10" t="str">
        <f>IFERROR(VLOOKUP(ROWS($BB$2:BB93),$AY$2:$BA$151,2,FALSE),"")</f>
        <v/>
      </c>
      <c r="BC93" s="10" t="str">
        <f>IFERROR(VLOOKUP(ROWS($BB$2:BB93),$AY$2:$BA$151,3,FALSE),"")</f>
        <v/>
      </c>
    </row>
    <row r="94" spans="3:55" x14ac:dyDescent="0.25">
      <c r="C94" s="3">
        <f>IF(ISNUMBER(SEARCH(#REF!,D94)),MAX($C$1:C93)+1,0)</f>
        <v>0</v>
      </c>
      <c r="D94" s="3" t="e">
        <f>#REF!</f>
        <v>#REF!</v>
      </c>
      <c r="E94" s="3" t="e">
        <f>#REF!</f>
        <v>#REF!</v>
      </c>
      <c r="F94" s="4" t="str">
        <f>IFERROR(VLOOKUP(ROWS($F$2:F94),$C$2:$E$151,2,FALSE),"")</f>
        <v/>
      </c>
      <c r="G94" s="4" t="str">
        <f>IFERROR(VLOOKUP(ROWS($F$2:F94),$C$2:$E$151,3,FALSE),"")</f>
        <v/>
      </c>
      <c r="I94" s="3">
        <f>IF(ISNUMBER(SEARCH(#REF!,J94)),MAX($I$1:I93)+1,0)</f>
        <v>0</v>
      </c>
      <c r="J94" s="3" t="e">
        <f>#REF!</f>
        <v>#REF!</v>
      </c>
      <c r="K94" s="3" t="e">
        <f>#REF!</f>
        <v>#REF!</v>
      </c>
      <c r="L94" s="4" t="str">
        <f>IFERROR(VLOOKUP(ROWS($L$2:L94),$I$2:$K$151,2,FALSE),"")</f>
        <v/>
      </c>
      <c r="M94" s="4" t="str">
        <f>IFERROR(VLOOKUP(ROWS($L$2:L94),$I$2:$K$151,3,FALSE),"")</f>
        <v/>
      </c>
      <c r="O94" s="3">
        <f>IF(ISNUMBER(SEARCH(#REF!,P94)),MAX($O$1:O93)+1,0)</f>
        <v>0</v>
      </c>
      <c r="P94" s="3" t="e">
        <f>#REF!</f>
        <v>#REF!</v>
      </c>
      <c r="Q94" s="3" t="e">
        <f>#REF!</f>
        <v>#REF!</v>
      </c>
      <c r="R94" s="4" t="str">
        <f>IFERROR(VLOOKUP(ROWS($R$2:R94),$O$2:$Q$151,2,FALSE),"")</f>
        <v/>
      </c>
      <c r="S94" s="4" t="str">
        <f>IFERROR(VLOOKUP(ROWS($R$2:R94),$O$2:$Q$151,3,FALSE),"")</f>
        <v/>
      </c>
      <c r="U94" s="5">
        <f>IF(ISNUMBER(SEARCH(#REF!,V94)),MAX($U$1:U93)+1,0)</f>
        <v>0</v>
      </c>
      <c r="V94" s="5" t="e">
        <f>#REF!</f>
        <v>#REF!</v>
      </c>
      <c r="W94" s="5" t="e">
        <f>#REF!</f>
        <v>#REF!</v>
      </c>
      <c r="X94" s="6" t="str">
        <f>IFERROR(VLOOKUP(ROWS($X$2:X94),$U$2:$W$151,2,FALSE),"")</f>
        <v/>
      </c>
      <c r="Y94" s="6" t="str">
        <f>IFERROR(VLOOKUP(ROWS($X$2:X94),$U$2:$W$151,3,FALSE),"")</f>
        <v/>
      </c>
      <c r="AA94" s="5">
        <f>IF(ISNUMBER(SEARCH(#REF!,AB94)),MAX($AA$1:AA93)+1,0)</f>
        <v>0</v>
      </c>
      <c r="AB94" s="5" t="e">
        <f>#REF!</f>
        <v>#REF!</v>
      </c>
      <c r="AC94" s="5" t="e">
        <f>#REF!</f>
        <v>#REF!</v>
      </c>
      <c r="AD94" s="6" t="str">
        <f>IFERROR(VLOOKUP(ROWS($AD$2:AD94),$AA$2:$AC$151,2,FALSE),"")</f>
        <v/>
      </c>
      <c r="AE94" s="6" t="str">
        <f>IFERROR(VLOOKUP(ROWS($AD$2:AD94),$AA$2:$AC$151,3,FALSE),"")</f>
        <v/>
      </c>
      <c r="AG94" s="7">
        <f>IF(ISNUMBER(SEARCH(#REF!,AH94)),MAX($AG$1:AG93)+1,0)</f>
        <v>0</v>
      </c>
      <c r="AH94" s="7" t="e">
        <f>#REF!</f>
        <v>#REF!</v>
      </c>
      <c r="AI94" s="7" t="e">
        <f>#REF!</f>
        <v>#REF!</v>
      </c>
      <c r="AJ94" s="8" t="str">
        <f>IFERROR(VLOOKUP(ROWS(AJ$2:AJ94),$AG$2:$AI$151,2,FALSE),"")</f>
        <v/>
      </c>
      <c r="AK94" s="8" t="str">
        <f>IFERROR(VLOOKUP(ROWS($AJ$2:AJ94),$AG$2:$AI$151,3,FALSE),"")</f>
        <v/>
      </c>
      <c r="AM94" s="7">
        <f>IF(ISNUMBER(SEARCH(#REF!,AN94)),MAX($AM$1:AM93)+1,0)</f>
        <v>0</v>
      </c>
      <c r="AN94" s="7" t="e">
        <f>#REF!</f>
        <v>#REF!</v>
      </c>
      <c r="AO94" s="7" t="e">
        <f>#REF!</f>
        <v>#REF!</v>
      </c>
      <c r="AP94" s="8" t="str">
        <f>IFERROR(VLOOKUP(ROWS($AP$2:AP94),$AM$2:$AO$151,2,FALSE),"")</f>
        <v/>
      </c>
      <c r="AQ94" s="8" t="str">
        <f>IFERROR(VLOOKUP(ROWS($AP$2:AP94),$AM$2:$AO$151,3,FALSE),"")</f>
        <v/>
      </c>
      <c r="AS94" s="9">
        <f>IF(ISNUMBER(SEARCH(#REF!,AT94)),MAX($AS$1:AS93)+1,0)</f>
        <v>0</v>
      </c>
      <c r="AT94" s="9" t="e">
        <f>#REF!</f>
        <v>#REF!</v>
      </c>
      <c r="AU94" s="9" t="e">
        <f>#REF!</f>
        <v>#REF!</v>
      </c>
      <c r="AV94" s="10" t="str">
        <f>IFERROR(VLOOKUP(ROWS(AV$2:AV94),$AS$2:$AU$151,2,FALSE),"")</f>
        <v/>
      </c>
      <c r="AW94" s="10" t="str">
        <f>IFERROR(VLOOKUP(ROWS($AV$2:AV94),$AS$2:$AU$151,3,FALSE),"")</f>
        <v/>
      </c>
      <c r="AY94" s="9">
        <f>IF(ISNUMBER(SEARCH(#REF!,AZ94)),MAX($AY$1:AY93)+1,0)</f>
        <v>0</v>
      </c>
      <c r="AZ94" s="9" t="e">
        <f>#REF!</f>
        <v>#REF!</v>
      </c>
      <c r="BA94" s="9" t="e">
        <f>#REF!</f>
        <v>#REF!</v>
      </c>
      <c r="BB94" s="10" t="str">
        <f>IFERROR(VLOOKUP(ROWS($BB$2:BB94),$AY$2:$BA$151,2,FALSE),"")</f>
        <v/>
      </c>
      <c r="BC94" s="10" t="str">
        <f>IFERROR(VLOOKUP(ROWS($BB$2:BB94),$AY$2:$BA$151,3,FALSE),"")</f>
        <v/>
      </c>
    </row>
    <row r="95" spans="3:55" x14ac:dyDescent="0.25">
      <c r="C95" s="3">
        <f>IF(ISNUMBER(SEARCH(#REF!,D95)),MAX($C$1:C94)+1,0)</f>
        <v>0</v>
      </c>
      <c r="D95" s="3" t="e">
        <f>#REF!</f>
        <v>#REF!</v>
      </c>
      <c r="E95" s="3" t="e">
        <f>#REF!</f>
        <v>#REF!</v>
      </c>
      <c r="F95" s="4" t="str">
        <f>IFERROR(VLOOKUP(ROWS($F$2:F95),$C$2:$E$151,2,FALSE),"")</f>
        <v/>
      </c>
      <c r="G95" s="4" t="str">
        <f>IFERROR(VLOOKUP(ROWS($F$2:F95),$C$2:$E$151,3,FALSE),"")</f>
        <v/>
      </c>
      <c r="I95" s="3">
        <f>IF(ISNUMBER(SEARCH(#REF!,J95)),MAX($I$1:I94)+1,0)</f>
        <v>0</v>
      </c>
      <c r="J95" s="3" t="e">
        <f>#REF!</f>
        <v>#REF!</v>
      </c>
      <c r="K95" s="3" t="e">
        <f>#REF!</f>
        <v>#REF!</v>
      </c>
      <c r="L95" s="4" t="str">
        <f>IFERROR(VLOOKUP(ROWS($L$2:L95),$I$2:$K$151,2,FALSE),"")</f>
        <v/>
      </c>
      <c r="M95" s="4" t="str">
        <f>IFERROR(VLOOKUP(ROWS($L$2:L95),$I$2:$K$151,3,FALSE),"")</f>
        <v/>
      </c>
      <c r="O95" s="3">
        <f>IF(ISNUMBER(SEARCH(#REF!,P95)),MAX($O$1:O94)+1,0)</f>
        <v>0</v>
      </c>
      <c r="P95" s="3" t="e">
        <f>#REF!</f>
        <v>#REF!</v>
      </c>
      <c r="Q95" s="3" t="e">
        <f>#REF!</f>
        <v>#REF!</v>
      </c>
      <c r="R95" s="4" t="str">
        <f>IFERROR(VLOOKUP(ROWS($R$2:R95),$O$2:$Q$151,2,FALSE),"")</f>
        <v/>
      </c>
      <c r="S95" s="4" t="str">
        <f>IFERROR(VLOOKUP(ROWS($R$2:R95),$O$2:$Q$151,3,FALSE),"")</f>
        <v/>
      </c>
      <c r="U95" s="5">
        <f>IF(ISNUMBER(SEARCH(#REF!,V95)),MAX($U$1:U94)+1,0)</f>
        <v>0</v>
      </c>
      <c r="V95" s="5" t="e">
        <f>#REF!</f>
        <v>#REF!</v>
      </c>
      <c r="W95" s="5" t="e">
        <f>#REF!</f>
        <v>#REF!</v>
      </c>
      <c r="X95" s="6" t="str">
        <f>IFERROR(VLOOKUP(ROWS($X$2:X95),$U$2:$W$151,2,FALSE),"")</f>
        <v/>
      </c>
      <c r="Y95" s="6" t="str">
        <f>IFERROR(VLOOKUP(ROWS($X$2:X95),$U$2:$W$151,3,FALSE),"")</f>
        <v/>
      </c>
      <c r="AA95" s="5">
        <f>IF(ISNUMBER(SEARCH(#REF!,AB95)),MAX($AA$1:AA94)+1,0)</f>
        <v>0</v>
      </c>
      <c r="AB95" s="5" t="e">
        <f>#REF!</f>
        <v>#REF!</v>
      </c>
      <c r="AC95" s="5" t="e">
        <f>#REF!</f>
        <v>#REF!</v>
      </c>
      <c r="AD95" s="6" t="str">
        <f>IFERROR(VLOOKUP(ROWS($AD$2:AD95),$AA$2:$AC$151,2,FALSE),"")</f>
        <v/>
      </c>
      <c r="AE95" s="6" t="str">
        <f>IFERROR(VLOOKUP(ROWS($AD$2:AD95),$AA$2:$AC$151,3,FALSE),"")</f>
        <v/>
      </c>
      <c r="AG95" s="7">
        <f>IF(ISNUMBER(SEARCH(#REF!,AH95)),MAX($AG$1:AG94)+1,0)</f>
        <v>0</v>
      </c>
      <c r="AH95" s="7" t="e">
        <f>#REF!</f>
        <v>#REF!</v>
      </c>
      <c r="AI95" s="7" t="e">
        <f>#REF!</f>
        <v>#REF!</v>
      </c>
      <c r="AJ95" s="8" t="str">
        <f>IFERROR(VLOOKUP(ROWS(AJ$2:AJ95),$AG$2:$AI$151,2,FALSE),"")</f>
        <v/>
      </c>
      <c r="AK95" s="8" t="str">
        <f>IFERROR(VLOOKUP(ROWS($AJ$2:AJ95),$AG$2:$AI$151,3,FALSE),"")</f>
        <v/>
      </c>
      <c r="AM95" s="7">
        <f>IF(ISNUMBER(SEARCH(#REF!,AN95)),MAX($AM$1:AM94)+1,0)</f>
        <v>0</v>
      </c>
      <c r="AN95" s="7" t="e">
        <f>#REF!</f>
        <v>#REF!</v>
      </c>
      <c r="AO95" s="7" t="e">
        <f>#REF!</f>
        <v>#REF!</v>
      </c>
      <c r="AP95" s="8" t="str">
        <f>IFERROR(VLOOKUP(ROWS($AP$2:AP95),$AM$2:$AO$151,2,FALSE),"")</f>
        <v/>
      </c>
      <c r="AQ95" s="8" t="str">
        <f>IFERROR(VLOOKUP(ROWS($AP$2:AP95),$AM$2:$AO$151,3,FALSE),"")</f>
        <v/>
      </c>
      <c r="AS95" s="9">
        <f>IF(ISNUMBER(SEARCH(#REF!,AT95)),MAX($AS$1:AS94)+1,0)</f>
        <v>0</v>
      </c>
      <c r="AT95" s="9" t="e">
        <f>#REF!</f>
        <v>#REF!</v>
      </c>
      <c r="AU95" s="9" t="e">
        <f>#REF!</f>
        <v>#REF!</v>
      </c>
      <c r="AV95" s="10" t="str">
        <f>IFERROR(VLOOKUP(ROWS(AV$2:AV95),$AS$2:$AU$151,2,FALSE),"")</f>
        <v/>
      </c>
      <c r="AW95" s="10" t="str">
        <f>IFERROR(VLOOKUP(ROWS($AV$2:AV95),$AS$2:$AU$151,3,FALSE),"")</f>
        <v/>
      </c>
      <c r="AY95" s="9">
        <f>IF(ISNUMBER(SEARCH(#REF!,AZ95)),MAX($AY$1:AY94)+1,0)</f>
        <v>0</v>
      </c>
      <c r="AZ95" s="9" t="e">
        <f>#REF!</f>
        <v>#REF!</v>
      </c>
      <c r="BA95" s="9" t="e">
        <f>#REF!</f>
        <v>#REF!</v>
      </c>
      <c r="BB95" s="10" t="str">
        <f>IFERROR(VLOOKUP(ROWS($BB$2:BB95),$AY$2:$BA$151,2,FALSE),"")</f>
        <v/>
      </c>
      <c r="BC95" s="10" t="str">
        <f>IFERROR(VLOOKUP(ROWS($BB$2:BB95),$AY$2:$BA$151,3,FALSE),"")</f>
        <v/>
      </c>
    </row>
    <row r="96" spans="3:55" x14ac:dyDescent="0.25">
      <c r="C96" s="3">
        <f>IF(ISNUMBER(SEARCH(#REF!,D96)),MAX($C$1:C95)+1,0)</f>
        <v>0</v>
      </c>
      <c r="D96" s="3" t="e">
        <f>#REF!</f>
        <v>#REF!</v>
      </c>
      <c r="E96" s="3" t="e">
        <f>#REF!</f>
        <v>#REF!</v>
      </c>
      <c r="F96" s="4" t="str">
        <f>IFERROR(VLOOKUP(ROWS($F$2:F96),$C$2:$E$151,2,FALSE),"")</f>
        <v/>
      </c>
      <c r="G96" s="4" t="str">
        <f>IFERROR(VLOOKUP(ROWS($F$2:F96),$C$2:$E$151,3,FALSE),"")</f>
        <v/>
      </c>
      <c r="I96" s="3">
        <f>IF(ISNUMBER(SEARCH(#REF!,J96)),MAX($I$1:I95)+1,0)</f>
        <v>0</v>
      </c>
      <c r="J96" s="3" t="e">
        <f>#REF!</f>
        <v>#REF!</v>
      </c>
      <c r="K96" s="3" t="e">
        <f>#REF!</f>
        <v>#REF!</v>
      </c>
      <c r="L96" s="4" t="str">
        <f>IFERROR(VLOOKUP(ROWS($L$2:L96),$I$2:$K$151,2,FALSE),"")</f>
        <v/>
      </c>
      <c r="M96" s="4" t="str">
        <f>IFERROR(VLOOKUP(ROWS($L$2:L96),$I$2:$K$151,3,FALSE),"")</f>
        <v/>
      </c>
      <c r="O96" s="3">
        <f>IF(ISNUMBER(SEARCH(#REF!,P96)),MAX($O$1:O95)+1,0)</f>
        <v>0</v>
      </c>
      <c r="P96" s="3" t="e">
        <f>#REF!</f>
        <v>#REF!</v>
      </c>
      <c r="Q96" s="3" t="e">
        <f>#REF!</f>
        <v>#REF!</v>
      </c>
      <c r="R96" s="4" t="str">
        <f>IFERROR(VLOOKUP(ROWS($R$2:R96),$O$2:$Q$151,2,FALSE),"")</f>
        <v/>
      </c>
      <c r="S96" s="4" t="str">
        <f>IFERROR(VLOOKUP(ROWS($R$2:R96),$O$2:$Q$151,3,FALSE),"")</f>
        <v/>
      </c>
      <c r="U96" s="5">
        <f>IF(ISNUMBER(SEARCH(#REF!,V96)),MAX($U$1:U95)+1,0)</f>
        <v>0</v>
      </c>
      <c r="V96" s="5" t="e">
        <f>#REF!</f>
        <v>#REF!</v>
      </c>
      <c r="W96" s="5" t="e">
        <f>#REF!</f>
        <v>#REF!</v>
      </c>
      <c r="X96" s="6" t="str">
        <f>IFERROR(VLOOKUP(ROWS($X$2:X96),$U$2:$W$151,2,FALSE),"")</f>
        <v/>
      </c>
      <c r="Y96" s="6" t="str">
        <f>IFERROR(VLOOKUP(ROWS($X$2:X96),$U$2:$W$151,3,FALSE),"")</f>
        <v/>
      </c>
      <c r="AA96" s="5">
        <f>IF(ISNUMBER(SEARCH(#REF!,AB96)),MAX($AA$1:AA95)+1,0)</f>
        <v>0</v>
      </c>
      <c r="AB96" s="5" t="e">
        <f>#REF!</f>
        <v>#REF!</v>
      </c>
      <c r="AC96" s="5" t="e">
        <f>#REF!</f>
        <v>#REF!</v>
      </c>
      <c r="AD96" s="6" t="str">
        <f>IFERROR(VLOOKUP(ROWS($AD$2:AD96),$AA$2:$AC$151,2,FALSE),"")</f>
        <v/>
      </c>
      <c r="AE96" s="6" t="str">
        <f>IFERROR(VLOOKUP(ROWS($AD$2:AD96),$AA$2:$AC$151,3,FALSE),"")</f>
        <v/>
      </c>
      <c r="AG96" s="7">
        <f>IF(ISNUMBER(SEARCH(#REF!,AH96)),MAX($AG$1:AG95)+1,0)</f>
        <v>0</v>
      </c>
      <c r="AH96" s="7" t="e">
        <f>#REF!</f>
        <v>#REF!</v>
      </c>
      <c r="AI96" s="7" t="e">
        <f>#REF!</f>
        <v>#REF!</v>
      </c>
      <c r="AJ96" s="8" t="str">
        <f>IFERROR(VLOOKUP(ROWS(AJ$2:AJ96),$AG$2:$AI$151,2,FALSE),"")</f>
        <v/>
      </c>
      <c r="AK96" s="8" t="str">
        <f>IFERROR(VLOOKUP(ROWS($AJ$2:AJ96),$AG$2:$AI$151,3,FALSE),"")</f>
        <v/>
      </c>
      <c r="AM96" s="7">
        <f>IF(ISNUMBER(SEARCH(#REF!,AN96)),MAX($AM$1:AM95)+1,0)</f>
        <v>0</v>
      </c>
      <c r="AN96" s="7" t="e">
        <f>#REF!</f>
        <v>#REF!</v>
      </c>
      <c r="AO96" s="7" t="e">
        <f>#REF!</f>
        <v>#REF!</v>
      </c>
      <c r="AP96" s="8" t="str">
        <f>IFERROR(VLOOKUP(ROWS($AP$2:AP96),$AM$2:$AO$151,2,FALSE),"")</f>
        <v/>
      </c>
      <c r="AQ96" s="8" t="str">
        <f>IFERROR(VLOOKUP(ROWS($AP$2:AP96),$AM$2:$AO$151,3,FALSE),"")</f>
        <v/>
      </c>
      <c r="AS96" s="9">
        <f>IF(ISNUMBER(SEARCH(#REF!,AT96)),MAX($AS$1:AS95)+1,0)</f>
        <v>0</v>
      </c>
      <c r="AT96" s="9" t="e">
        <f>#REF!</f>
        <v>#REF!</v>
      </c>
      <c r="AU96" s="9" t="e">
        <f>#REF!</f>
        <v>#REF!</v>
      </c>
      <c r="AV96" s="10" t="str">
        <f>IFERROR(VLOOKUP(ROWS(AV$2:AV96),$AS$2:$AU$151,2,FALSE),"")</f>
        <v/>
      </c>
      <c r="AW96" s="10" t="str">
        <f>IFERROR(VLOOKUP(ROWS($AV$2:AV96),$AS$2:$AU$151,3,FALSE),"")</f>
        <v/>
      </c>
      <c r="AY96" s="9">
        <f>IF(ISNUMBER(SEARCH(#REF!,AZ96)),MAX($AY$1:AY95)+1,0)</f>
        <v>0</v>
      </c>
      <c r="AZ96" s="9" t="e">
        <f>#REF!</f>
        <v>#REF!</v>
      </c>
      <c r="BA96" s="9" t="e">
        <f>#REF!</f>
        <v>#REF!</v>
      </c>
      <c r="BB96" s="10" t="str">
        <f>IFERROR(VLOOKUP(ROWS($BB$2:BB96),$AY$2:$BA$151,2,FALSE),"")</f>
        <v/>
      </c>
      <c r="BC96" s="10" t="str">
        <f>IFERROR(VLOOKUP(ROWS($BB$2:BB96),$AY$2:$BA$151,3,FALSE),"")</f>
        <v/>
      </c>
    </row>
    <row r="97" spans="3:55" x14ac:dyDescent="0.25">
      <c r="C97" s="3">
        <f>IF(ISNUMBER(SEARCH(#REF!,D97)),MAX($C$1:C96)+1,0)</f>
        <v>0</v>
      </c>
      <c r="D97" s="3" t="e">
        <f>#REF!</f>
        <v>#REF!</v>
      </c>
      <c r="E97" s="3" t="e">
        <f>#REF!</f>
        <v>#REF!</v>
      </c>
      <c r="F97" s="4" t="str">
        <f>IFERROR(VLOOKUP(ROWS($F$2:F97),$C$2:$E$151,2,FALSE),"")</f>
        <v/>
      </c>
      <c r="G97" s="4" t="str">
        <f>IFERROR(VLOOKUP(ROWS($F$2:F97),$C$2:$E$151,3,FALSE),"")</f>
        <v/>
      </c>
      <c r="I97" s="3">
        <f>IF(ISNUMBER(SEARCH(#REF!,J97)),MAX($I$1:I96)+1,0)</f>
        <v>0</v>
      </c>
      <c r="J97" s="3" t="e">
        <f>#REF!</f>
        <v>#REF!</v>
      </c>
      <c r="K97" s="3" t="e">
        <f>#REF!</f>
        <v>#REF!</v>
      </c>
      <c r="L97" s="4" t="str">
        <f>IFERROR(VLOOKUP(ROWS($L$2:L97),$I$2:$K$151,2,FALSE),"")</f>
        <v/>
      </c>
      <c r="M97" s="4" t="str">
        <f>IFERROR(VLOOKUP(ROWS($L$2:L97),$I$2:$K$151,3,FALSE),"")</f>
        <v/>
      </c>
      <c r="O97" s="3">
        <f>IF(ISNUMBER(SEARCH(#REF!,P97)),MAX($O$1:O96)+1,0)</f>
        <v>0</v>
      </c>
      <c r="P97" s="3" t="e">
        <f>#REF!</f>
        <v>#REF!</v>
      </c>
      <c r="Q97" s="3" t="e">
        <f>#REF!</f>
        <v>#REF!</v>
      </c>
      <c r="R97" s="4" t="str">
        <f>IFERROR(VLOOKUP(ROWS($R$2:R97),$O$2:$Q$151,2,FALSE),"")</f>
        <v/>
      </c>
      <c r="S97" s="4" t="str">
        <f>IFERROR(VLOOKUP(ROWS($R$2:R97),$O$2:$Q$151,3,FALSE),"")</f>
        <v/>
      </c>
      <c r="U97" s="5">
        <f>IF(ISNUMBER(SEARCH(#REF!,V97)),MAX($U$1:U96)+1,0)</f>
        <v>0</v>
      </c>
      <c r="V97" s="5" t="e">
        <f>#REF!</f>
        <v>#REF!</v>
      </c>
      <c r="W97" s="5" t="e">
        <f>#REF!</f>
        <v>#REF!</v>
      </c>
      <c r="X97" s="6" t="str">
        <f>IFERROR(VLOOKUP(ROWS($X$2:X97),$U$2:$W$151,2,FALSE),"")</f>
        <v/>
      </c>
      <c r="Y97" s="6" t="str">
        <f>IFERROR(VLOOKUP(ROWS($X$2:X97),$U$2:$W$151,3,FALSE),"")</f>
        <v/>
      </c>
      <c r="AA97" s="5">
        <f>IF(ISNUMBER(SEARCH(#REF!,AB97)),MAX($AA$1:AA96)+1,0)</f>
        <v>0</v>
      </c>
      <c r="AB97" s="5" t="e">
        <f>#REF!</f>
        <v>#REF!</v>
      </c>
      <c r="AC97" s="5" t="e">
        <f>#REF!</f>
        <v>#REF!</v>
      </c>
      <c r="AD97" s="6" t="str">
        <f>IFERROR(VLOOKUP(ROWS($AD$2:AD97),$AA$2:$AC$151,2,FALSE),"")</f>
        <v/>
      </c>
      <c r="AE97" s="6" t="str">
        <f>IFERROR(VLOOKUP(ROWS($AD$2:AD97),$AA$2:$AC$151,3,FALSE),"")</f>
        <v/>
      </c>
      <c r="AG97" s="7">
        <f>IF(ISNUMBER(SEARCH(#REF!,AH97)),MAX($AG$1:AG96)+1,0)</f>
        <v>0</v>
      </c>
      <c r="AH97" s="7" t="e">
        <f>#REF!</f>
        <v>#REF!</v>
      </c>
      <c r="AI97" s="7" t="e">
        <f>#REF!</f>
        <v>#REF!</v>
      </c>
      <c r="AJ97" s="8" t="str">
        <f>IFERROR(VLOOKUP(ROWS(AJ$2:AJ97),$AG$2:$AI$151,2,FALSE),"")</f>
        <v/>
      </c>
      <c r="AK97" s="8" t="str">
        <f>IFERROR(VLOOKUP(ROWS($AJ$2:AJ97),$AG$2:$AI$151,3,FALSE),"")</f>
        <v/>
      </c>
      <c r="AM97" s="7">
        <f>IF(ISNUMBER(SEARCH(#REF!,AN97)),MAX($AM$1:AM96)+1,0)</f>
        <v>0</v>
      </c>
      <c r="AN97" s="7" t="e">
        <f>#REF!</f>
        <v>#REF!</v>
      </c>
      <c r="AO97" s="7" t="e">
        <f>#REF!</f>
        <v>#REF!</v>
      </c>
      <c r="AP97" s="8" t="str">
        <f>IFERROR(VLOOKUP(ROWS($AP$2:AP97),$AM$2:$AO$151,2,FALSE),"")</f>
        <v/>
      </c>
      <c r="AQ97" s="8" t="str">
        <f>IFERROR(VLOOKUP(ROWS($AP$2:AP97),$AM$2:$AO$151,3,FALSE),"")</f>
        <v/>
      </c>
      <c r="AS97" s="9">
        <f>IF(ISNUMBER(SEARCH(#REF!,AT97)),MAX($AS$1:AS96)+1,0)</f>
        <v>0</v>
      </c>
      <c r="AT97" s="9" t="e">
        <f>#REF!</f>
        <v>#REF!</v>
      </c>
      <c r="AU97" s="9" t="e">
        <f>#REF!</f>
        <v>#REF!</v>
      </c>
      <c r="AV97" s="10" t="str">
        <f>IFERROR(VLOOKUP(ROWS(AV$2:AV97),$AS$2:$AU$151,2,FALSE),"")</f>
        <v/>
      </c>
      <c r="AW97" s="10" t="str">
        <f>IFERROR(VLOOKUP(ROWS($AV$2:AV97),$AS$2:$AU$151,3,FALSE),"")</f>
        <v/>
      </c>
      <c r="AY97" s="9">
        <f>IF(ISNUMBER(SEARCH(#REF!,AZ97)),MAX($AY$1:AY96)+1,0)</f>
        <v>0</v>
      </c>
      <c r="AZ97" s="9" t="e">
        <f>#REF!</f>
        <v>#REF!</v>
      </c>
      <c r="BA97" s="9" t="e">
        <f>#REF!</f>
        <v>#REF!</v>
      </c>
      <c r="BB97" s="10" t="str">
        <f>IFERROR(VLOOKUP(ROWS($BB$2:BB97),$AY$2:$BA$151,2,FALSE),"")</f>
        <v/>
      </c>
      <c r="BC97" s="10" t="str">
        <f>IFERROR(VLOOKUP(ROWS($BB$2:BB97),$AY$2:$BA$151,3,FALSE),"")</f>
        <v/>
      </c>
    </row>
    <row r="98" spans="3:55" x14ac:dyDescent="0.25">
      <c r="C98" s="3">
        <f>IF(ISNUMBER(SEARCH(#REF!,D98)),MAX($C$1:C97)+1,0)</f>
        <v>0</v>
      </c>
      <c r="D98" s="3" t="e">
        <f>#REF!</f>
        <v>#REF!</v>
      </c>
      <c r="E98" s="3" t="e">
        <f>#REF!</f>
        <v>#REF!</v>
      </c>
      <c r="F98" s="4" t="str">
        <f>IFERROR(VLOOKUP(ROWS($F$2:F98),$C$2:$E$151,2,FALSE),"")</f>
        <v/>
      </c>
      <c r="G98" s="4" t="str">
        <f>IFERROR(VLOOKUP(ROWS($F$2:F98),$C$2:$E$151,3,FALSE),"")</f>
        <v/>
      </c>
      <c r="I98" s="3">
        <f>IF(ISNUMBER(SEARCH(#REF!,J98)),MAX($I$1:I97)+1,0)</f>
        <v>0</v>
      </c>
      <c r="J98" s="3" t="e">
        <f>#REF!</f>
        <v>#REF!</v>
      </c>
      <c r="K98" s="3" t="e">
        <f>#REF!</f>
        <v>#REF!</v>
      </c>
      <c r="L98" s="4" t="str">
        <f>IFERROR(VLOOKUP(ROWS($L$2:L98),$I$2:$K$151,2,FALSE),"")</f>
        <v/>
      </c>
      <c r="M98" s="4" t="str">
        <f>IFERROR(VLOOKUP(ROWS($L$2:L98),$I$2:$K$151,3,FALSE),"")</f>
        <v/>
      </c>
      <c r="O98" s="3">
        <f>IF(ISNUMBER(SEARCH(#REF!,P98)),MAX($O$1:O97)+1,0)</f>
        <v>0</v>
      </c>
      <c r="P98" s="3" t="e">
        <f>#REF!</f>
        <v>#REF!</v>
      </c>
      <c r="Q98" s="3" t="e">
        <f>#REF!</f>
        <v>#REF!</v>
      </c>
      <c r="R98" s="4" t="str">
        <f>IFERROR(VLOOKUP(ROWS($R$2:R98),$O$2:$Q$151,2,FALSE),"")</f>
        <v/>
      </c>
      <c r="S98" s="4" t="str">
        <f>IFERROR(VLOOKUP(ROWS($R$2:R98),$O$2:$Q$151,3,FALSE),"")</f>
        <v/>
      </c>
      <c r="U98" s="5">
        <f>IF(ISNUMBER(SEARCH(#REF!,V98)),MAX($U$1:U97)+1,0)</f>
        <v>0</v>
      </c>
      <c r="V98" s="5" t="e">
        <f>#REF!</f>
        <v>#REF!</v>
      </c>
      <c r="W98" s="5" t="e">
        <f>#REF!</f>
        <v>#REF!</v>
      </c>
      <c r="X98" s="6" t="str">
        <f>IFERROR(VLOOKUP(ROWS($X$2:X98),$U$2:$W$151,2,FALSE),"")</f>
        <v/>
      </c>
      <c r="Y98" s="6" t="str">
        <f>IFERROR(VLOOKUP(ROWS($X$2:X98),$U$2:$W$151,3,FALSE),"")</f>
        <v/>
      </c>
      <c r="AA98" s="5">
        <f>IF(ISNUMBER(SEARCH(#REF!,AB98)),MAX($AA$1:AA97)+1,0)</f>
        <v>0</v>
      </c>
      <c r="AB98" s="5" t="e">
        <f>#REF!</f>
        <v>#REF!</v>
      </c>
      <c r="AC98" s="5" t="e">
        <f>#REF!</f>
        <v>#REF!</v>
      </c>
      <c r="AD98" s="6" t="str">
        <f>IFERROR(VLOOKUP(ROWS($AD$2:AD98),$AA$2:$AC$151,2,FALSE),"")</f>
        <v/>
      </c>
      <c r="AE98" s="6" t="str">
        <f>IFERROR(VLOOKUP(ROWS($AD$2:AD98),$AA$2:$AC$151,3,FALSE),"")</f>
        <v/>
      </c>
      <c r="AG98" s="7">
        <f>IF(ISNUMBER(SEARCH(#REF!,AH98)),MAX($AG$1:AG97)+1,0)</f>
        <v>0</v>
      </c>
      <c r="AH98" s="7" t="e">
        <f>#REF!</f>
        <v>#REF!</v>
      </c>
      <c r="AI98" s="7" t="e">
        <f>#REF!</f>
        <v>#REF!</v>
      </c>
      <c r="AJ98" s="8" t="str">
        <f>IFERROR(VLOOKUP(ROWS(AJ$2:AJ98),$AG$2:$AI$151,2,FALSE),"")</f>
        <v/>
      </c>
      <c r="AK98" s="8" t="str">
        <f>IFERROR(VLOOKUP(ROWS($AJ$2:AJ98),$AG$2:$AI$151,3,FALSE),"")</f>
        <v/>
      </c>
      <c r="AM98" s="7">
        <f>IF(ISNUMBER(SEARCH(#REF!,AN98)),MAX($AM$1:AM97)+1,0)</f>
        <v>0</v>
      </c>
      <c r="AN98" s="7" t="e">
        <f>#REF!</f>
        <v>#REF!</v>
      </c>
      <c r="AO98" s="7" t="e">
        <f>#REF!</f>
        <v>#REF!</v>
      </c>
      <c r="AP98" s="8" t="str">
        <f>IFERROR(VLOOKUP(ROWS($AP$2:AP98),$AM$2:$AO$151,2,FALSE),"")</f>
        <v/>
      </c>
      <c r="AQ98" s="8" t="str">
        <f>IFERROR(VLOOKUP(ROWS($AP$2:AP98),$AM$2:$AO$151,3,FALSE),"")</f>
        <v/>
      </c>
      <c r="AS98" s="9">
        <f>IF(ISNUMBER(SEARCH(#REF!,AT98)),MAX($AS$1:AS97)+1,0)</f>
        <v>0</v>
      </c>
      <c r="AT98" s="9" t="e">
        <f>#REF!</f>
        <v>#REF!</v>
      </c>
      <c r="AU98" s="9" t="e">
        <f>#REF!</f>
        <v>#REF!</v>
      </c>
      <c r="AV98" s="10" t="str">
        <f>IFERROR(VLOOKUP(ROWS(AV$2:AV98),$AS$2:$AU$151,2,FALSE),"")</f>
        <v/>
      </c>
      <c r="AW98" s="10" t="str">
        <f>IFERROR(VLOOKUP(ROWS($AV$2:AV98),$AS$2:$AU$151,3,FALSE),"")</f>
        <v/>
      </c>
      <c r="AY98" s="9">
        <f>IF(ISNUMBER(SEARCH(#REF!,AZ98)),MAX($AY$1:AY97)+1,0)</f>
        <v>0</v>
      </c>
      <c r="AZ98" s="9" t="e">
        <f>#REF!</f>
        <v>#REF!</v>
      </c>
      <c r="BA98" s="9" t="e">
        <f>#REF!</f>
        <v>#REF!</v>
      </c>
      <c r="BB98" s="10" t="str">
        <f>IFERROR(VLOOKUP(ROWS($BB$2:BB98),$AY$2:$BA$151,2,FALSE),"")</f>
        <v/>
      </c>
      <c r="BC98" s="10" t="str">
        <f>IFERROR(VLOOKUP(ROWS($BB$2:BB98),$AY$2:$BA$151,3,FALSE),"")</f>
        <v/>
      </c>
    </row>
    <row r="99" spans="3:55" x14ac:dyDescent="0.25">
      <c r="C99" s="3">
        <f>IF(ISNUMBER(SEARCH(#REF!,D99)),MAX($C$1:C98)+1,0)</f>
        <v>0</v>
      </c>
      <c r="D99" s="3" t="e">
        <f>#REF!</f>
        <v>#REF!</v>
      </c>
      <c r="E99" s="3" t="e">
        <f>#REF!</f>
        <v>#REF!</v>
      </c>
      <c r="F99" s="4" t="str">
        <f>IFERROR(VLOOKUP(ROWS($F$2:F99),$C$2:$E$151,2,FALSE),"")</f>
        <v/>
      </c>
      <c r="G99" s="4" t="str">
        <f>IFERROR(VLOOKUP(ROWS($F$2:F99),$C$2:$E$151,3,FALSE),"")</f>
        <v/>
      </c>
      <c r="I99" s="3">
        <f>IF(ISNUMBER(SEARCH(#REF!,J99)),MAX($I$1:I98)+1,0)</f>
        <v>0</v>
      </c>
      <c r="J99" s="3" t="e">
        <f>#REF!</f>
        <v>#REF!</v>
      </c>
      <c r="K99" s="3" t="e">
        <f>#REF!</f>
        <v>#REF!</v>
      </c>
      <c r="L99" s="4" t="str">
        <f>IFERROR(VLOOKUP(ROWS($L$2:L99),$I$2:$K$151,2,FALSE),"")</f>
        <v/>
      </c>
      <c r="M99" s="4" t="str">
        <f>IFERROR(VLOOKUP(ROWS($L$2:L99),$I$2:$K$151,3,FALSE),"")</f>
        <v/>
      </c>
      <c r="O99" s="3">
        <f>IF(ISNUMBER(SEARCH(#REF!,P99)),MAX($O$1:O98)+1,0)</f>
        <v>0</v>
      </c>
      <c r="P99" s="3" t="e">
        <f>#REF!</f>
        <v>#REF!</v>
      </c>
      <c r="Q99" s="3" t="e">
        <f>#REF!</f>
        <v>#REF!</v>
      </c>
      <c r="R99" s="4" t="str">
        <f>IFERROR(VLOOKUP(ROWS($R$2:R99),$O$2:$Q$151,2,FALSE),"")</f>
        <v/>
      </c>
      <c r="S99" s="4" t="str">
        <f>IFERROR(VLOOKUP(ROWS($R$2:R99),$O$2:$Q$151,3,FALSE),"")</f>
        <v/>
      </c>
      <c r="U99" s="5">
        <f>IF(ISNUMBER(SEARCH(#REF!,V99)),MAX($U$1:U98)+1,0)</f>
        <v>0</v>
      </c>
      <c r="V99" s="5" t="e">
        <f>#REF!</f>
        <v>#REF!</v>
      </c>
      <c r="W99" s="5" t="e">
        <f>#REF!</f>
        <v>#REF!</v>
      </c>
      <c r="X99" s="6" t="str">
        <f>IFERROR(VLOOKUP(ROWS($X$2:X99),$U$2:$W$151,2,FALSE),"")</f>
        <v/>
      </c>
      <c r="Y99" s="6" t="str">
        <f>IFERROR(VLOOKUP(ROWS($X$2:X99),$U$2:$W$151,3,FALSE),"")</f>
        <v/>
      </c>
      <c r="AA99" s="5">
        <f>IF(ISNUMBER(SEARCH(#REF!,AB99)),MAX($AA$1:AA98)+1,0)</f>
        <v>0</v>
      </c>
      <c r="AB99" s="5" t="e">
        <f>#REF!</f>
        <v>#REF!</v>
      </c>
      <c r="AC99" s="5" t="e">
        <f>#REF!</f>
        <v>#REF!</v>
      </c>
      <c r="AD99" s="6" t="str">
        <f>IFERROR(VLOOKUP(ROWS($AD$2:AD99),$AA$2:$AC$151,2,FALSE),"")</f>
        <v/>
      </c>
      <c r="AE99" s="6" t="str">
        <f>IFERROR(VLOOKUP(ROWS($AD$2:AD99),$AA$2:$AC$151,3,FALSE),"")</f>
        <v/>
      </c>
      <c r="AG99" s="7">
        <f>IF(ISNUMBER(SEARCH(#REF!,AH99)),MAX($AG$1:AG98)+1,0)</f>
        <v>0</v>
      </c>
      <c r="AH99" s="7" t="e">
        <f>#REF!</f>
        <v>#REF!</v>
      </c>
      <c r="AI99" s="7" t="e">
        <f>#REF!</f>
        <v>#REF!</v>
      </c>
      <c r="AJ99" s="8" t="str">
        <f>IFERROR(VLOOKUP(ROWS(AJ$2:AJ99),$AG$2:$AI$151,2,FALSE),"")</f>
        <v/>
      </c>
      <c r="AK99" s="8" t="str">
        <f>IFERROR(VLOOKUP(ROWS($AJ$2:AJ99),$AG$2:$AI$151,3,FALSE),"")</f>
        <v/>
      </c>
      <c r="AM99" s="7">
        <f>IF(ISNUMBER(SEARCH(#REF!,AN99)),MAX($AM$1:AM98)+1,0)</f>
        <v>0</v>
      </c>
      <c r="AN99" s="7" t="e">
        <f>#REF!</f>
        <v>#REF!</v>
      </c>
      <c r="AO99" s="7" t="e">
        <f>#REF!</f>
        <v>#REF!</v>
      </c>
      <c r="AP99" s="8" t="str">
        <f>IFERROR(VLOOKUP(ROWS($AP$2:AP99),$AM$2:$AO$151,2,FALSE),"")</f>
        <v/>
      </c>
      <c r="AQ99" s="8" t="str">
        <f>IFERROR(VLOOKUP(ROWS($AP$2:AP99),$AM$2:$AO$151,3,FALSE),"")</f>
        <v/>
      </c>
      <c r="AS99" s="9">
        <f>IF(ISNUMBER(SEARCH(#REF!,AT99)),MAX($AS$1:AS98)+1,0)</f>
        <v>0</v>
      </c>
      <c r="AT99" s="9" t="e">
        <f>#REF!</f>
        <v>#REF!</v>
      </c>
      <c r="AU99" s="9" t="e">
        <f>#REF!</f>
        <v>#REF!</v>
      </c>
      <c r="AV99" s="10" t="str">
        <f>IFERROR(VLOOKUP(ROWS(AV$2:AV99),$AS$2:$AU$151,2,FALSE),"")</f>
        <v/>
      </c>
      <c r="AW99" s="10" t="str">
        <f>IFERROR(VLOOKUP(ROWS($AV$2:AV99),$AS$2:$AU$151,3,FALSE),"")</f>
        <v/>
      </c>
      <c r="AY99" s="9">
        <f>IF(ISNUMBER(SEARCH(#REF!,AZ99)),MAX($AY$1:AY98)+1,0)</f>
        <v>0</v>
      </c>
      <c r="AZ99" s="9" t="e">
        <f>#REF!</f>
        <v>#REF!</v>
      </c>
      <c r="BA99" s="9" t="e">
        <f>#REF!</f>
        <v>#REF!</v>
      </c>
      <c r="BB99" s="10" t="str">
        <f>IFERROR(VLOOKUP(ROWS($BB$2:BB99),$AY$2:$BA$151,2,FALSE),"")</f>
        <v/>
      </c>
      <c r="BC99" s="10" t="str">
        <f>IFERROR(VLOOKUP(ROWS($BB$2:BB99),$AY$2:$BA$151,3,FALSE),"")</f>
        <v/>
      </c>
    </row>
    <row r="100" spans="3:55" x14ac:dyDescent="0.25">
      <c r="C100" s="3">
        <f>IF(ISNUMBER(SEARCH(#REF!,D100)),MAX($C$1:C99)+1,0)</f>
        <v>0</v>
      </c>
      <c r="D100" s="3" t="e">
        <f>#REF!</f>
        <v>#REF!</v>
      </c>
      <c r="E100" s="3" t="e">
        <f>#REF!</f>
        <v>#REF!</v>
      </c>
      <c r="F100" s="4" t="str">
        <f>IFERROR(VLOOKUP(ROWS($F$2:F100),$C$2:$E$151,2,FALSE),"")</f>
        <v/>
      </c>
      <c r="G100" s="4" t="str">
        <f>IFERROR(VLOOKUP(ROWS($F$2:F100),$C$2:$E$151,3,FALSE),"")</f>
        <v/>
      </c>
      <c r="I100" s="3">
        <f>IF(ISNUMBER(SEARCH(#REF!,J100)),MAX($I$1:I99)+1,0)</f>
        <v>0</v>
      </c>
      <c r="J100" s="3" t="e">
        <f>#REF!</f>
        <v>#REF!</v>
      </c>
      <c r="K100" s="3" t="e">
        <f>#REF!</f>
        <v>#REF!</v>
      </c>
      <c r="L100" s="4" t="str">
        <f>IFERROR(VLOOKUP(ROWS($L$2:L100),$I$2:$K$151,2,FALSE),"")</f>
        <v/>
      </c>
      <c r="M100" s="4" t="str">
        <f>IFERROR(VLOOKUP(ROWS($L$2:L100),$I$2:$K$151,3,FALSE),"")</f>
        <v/>
      </c>
      <c r="O100" s="3">
        <f>IF(ISNUMBER(SEARCH(#REF!,P100)),MAX($O$1:O99)+1,0)</f>
        <v>0</v>
      </c>
      <c r="P100" s="3" t="e">
        <f>#REF!</f>
        <v>#REF!</v>
      </c>
      <c r="Q100" s="3" t="e">
        <f>#REF!</f>
        <v>#REF!</v>
      </c>
      <c r="R100" s="4" t="str">
        <f>IFERROR(VLOOKUP(ROWS($R$2:R100),$O$2:$Q$151,2,FALSE),"")</f>
        <v/>
      </c>
      <c r="S100" s="4" t="str">
        <f>IFERROR(VLOOKUP(ROWS($R$2:R100),$O$2:$Q$151,3,FALSE),"")</f>
        <v/>
      </c>
      <c r="U100" s="5">
        <f>IF(ISNUMBER(SEARCH(#REF!,V100)),MAX($U$1:U99)+1,0)</f>
        <v>0</v>
      </c>
      <c r="V100" s="5" t="e">
        <f>#REF!</f>
        <v>#REF!</v>
      </c>
      <c r="W100" s="5" t="e">
        <f>#REF!</f>
        <v>#REF!</v>
      </c>
      <c r="X100" s="6" t="str">
        <f>IFERROR(VLOOKUP(ROWS($X$2:X100),$U$2:$W$151,2,FALSE),"")</f>
        <v/>
      </c>
      <c r="Y100" s="6" t="str">
        <f>IFERROR(VLOOKUP(ROWS($X$2:X100),$U$2:$W$151,3,FALSE),"")</f>
        <v/>
      </c>
      <c r="AA100" s="5">
        <f>IF(ISNUMBER(SEARCH(#REF!,AB100)),MAX($AA$1:AA99)+1,0)</f>
        <v>0</v>
      </c>
      <c r="AB100" s="5" t="e">
        <f>#REF!</f>
        <v>#REF!</v>
      </c>
      <c r="AC100" s="5" t="e">
        <f>#REF!</f>
        <v>#REF!</v>
      </c>
      <c r="AD100" s="6" t="str">
        <f>IFERROR(VLOOKUP(ROWS($AD$2:AD100),$AA$2:$AC$151,2,FALSE),"")</f>
        <v/>
      </c>
      <c r="AE100" s="6" t="str">
        <f>IFERROR(VLOOKUP(ROWS($AD$2:AD100),$AA$2:$AC$151,3,FALSE),"")</f>
        <v/>
      </c>
      <c r="AG100" s="7">
        <f>IF(ISNUMBER(SEARCH(#REF!,AH100)),MAX($AG$1:AG99)+1,0)</f>
        <v>0</v>
      </c>
      <c r="AH100" s="7" t="e">
        <f>#REF!</f>
        <v>#REF!</v>
      </c>
      <c r="AI100" s="7" t="e">
        <f>#REF!</f>
        <v>#REF!</v>
      </c>
      <c r="AJ100" s="8" t="str">
        <f>IFERROR(VLOOKUP(ROWS(AJ$2:AJ100),$AG$2:$AI$151,2,FALSE),"")</f>
        <v/>
      </c>
      <c r="AK100" s="8" t="str">
        <f>IFERROR(VLOOKUP(ROWS($AJ$2:AJ100),$AG$2:$AI$151,3,FALSE),"")</f>
        <v/>
      </c>
      <c r="AM100" s="7">
        <f>IF(ISNUMBER(SEARCH(#REF!,AN100)),MAX($AM$1:AM99)+1,0)</f>
        <v>0</v>
      </c>
      <c r="AN100" s="7" t="e">
        <f>#REF!</f>
        <v>#REF!</v>
      </c>
      <c r="AO100" s="7" t="e">
        <f>#REF!</f>
        <v>#REF!</v>
      </c>
      <c r="AP100" s="8" t="str">
        <f>IFERROR(VLOOKUP(ROWS($AP$2:AP100),$AM$2:$AO$151,2,FALSE),"")</f>
        <v/>
      </c>
      <c r="AQ100" s="8" t="str">
        <f>IFERROR(VLOOKUP(ROWS($AP$2:AP100),$AM$2:$AO$151,3,FALSE),"")</f>
        <v/>
      </c>
      <c r="AS100" s="9">
        <f>IF(ISNUMBER(SEARCH(#REF!,AT100)),MAX($AS$1:AS99)+1,0)</f>
        <v>0</v>
      </c>
      <c r="AT100" s="9" t="e">
        <f>#REF!</f>
        <v>#REF!</v>
      </c>
      <c r="AU100" s="9" t="e">
        <f>#REF!</f>
        <v>#REF!</v>
      </c>
      <c r="AV100" s="10" t="str">
        <f>IFERROR(VLOOKUP(ROWS(AV$2:AV100),$AS$2:$AU$151,2,FALSE),"")</f>
        <v/>
      </c>
      <c r="AW100" s="10" t="str">
        <f>IFERROR(VLOOKUP(ROWS($AV$2:AV100),$AS$2:$AU$151,3,FALSE),"")</f>
        <v/>
      </c>
      <c r="AY100" s="9">
        <f>IF(ISNUMBER(SEARCH(#REF!,AZ100)),MAX($AY$1:AY99)+1,0)</f>
        <v>0</v>
      </c>
      <c r="AZ100" s="9" t="e">
        <f>#REF!</f>
        <v>#REF!</v>
      </c>
      <c r="BA100" s="9" t="e">
        <f>#REF!</f>
        <v>#REF!</v>
      </c>
      <c r="BB100" s="10" t="str">
        <f>IFERROR(VLOOKUP(ROWS($BB$2:BB100),$AY$2:$BA$151,2,FALSE),"")</f>
        <v/>
      </c>
      <c r="BC100" s="10" t="str">
        <f>IFERROR(VLOOKUP(ROWS($BB$2:BB100),$AY$2:$BA$151,3,FALSE),"")</f>
        <v/>
      </c>
    </row>
    <row r="101" spans="3:55" x14ac:dyDescent="0.25">
      <c r="C101" s="3">
        <f>IF(ISNUMBER(SEARCH(#REF!,D101)),MAX($C$1:C100)+1,0)</f>
        <v>0</v>
      </c>
      <c r="D101" s="3" t="e">
        <f>#REF!</f>
        <v>#REF!</v>
      </c>
      <c r="E101" s="3" t="e">
        <f>#REF!</f>
        <v>#REF!</v>
      </c>
      <c r="F101" s="4" t="str">
        <f>IFERROR(VLOOKUP(ROWS($F$2:F101),$C$2:$E$151,2,FALSE),"")</f>
        <v/>
      </c>
      <c r="G101" s="4" t="str">
        <f>IFERROR(VLOOKUP(ROWS($F$2:F101),$C$2:$E$151,3,FALSE),"")</f>
        <v/>
      </c>
      <c r="I101" s="3">
        <f>IF(ISNUMBER(SEARCH(#REF!,J101)),MAX($I$1:I100)+1,0)</f>
        <v>0</v>
      </c>
      <c r="J101" s="3" t="e">
        <f>#REF!</f>
        <v>#REF!</v>
      </c>
      <c r="K101" s="3" t="e">
        <f>#REF!</f>
        <v>#REF!</v>
      </c>
      <c r="L101" s="4" t="str">
        <f>IFERROR(VLOOKUP(ROWS($L$2:L101),$I$2:$K$151,2,FALSE),"")</f>
        <v/>
      </c>
      <c r="M101" s="4" t="str">
        <f>IFERROR(VLOOKUP(ROWS($L$2:L101),$I$2:$K$151,3,FALSE),"")</f>
        <v/>
      </c>
      <c r="O101" s="3">
        <f>IF(ISNUMBER(SEARCH(#REF!,P101)),MAX($O$1:O100)+1,0)</f>
        <v>0</v>
      </c>
      <c r="P101" s="3" t="e">
        <f>#REF!</f>
        <v>#REF!</v>
      </c>
      <c r="Q101" s="3" t="e">
        <f>#REF!</f>
        <v>#REF!</v>
      </c>
      <c r="R101" s="4" t="str">
        <f>IFERROR(VLOOKUP(ROWS($R$2:R101),$O$2:$Q$151,2,FALSE),"")</f>
        <v/>
      </c>
      <c r="S101" s="4" t="str">
        <f>IFERROR(VLOOKUP(ROWS($R$2:R101),$O$2:$Q$151,3,FALSE),"")</f>
        <v/>
      </c>
      <c r="U101" s="5">
        <f>IF(ISNUMBER(SEARCH(#REF!,V101)),MAX($U$1:U100)+1,0)</f>
        <v>0</v>
      </c>
      <c r="V101" s="5" t="e">
        <f>#REF!</f>
        <v>#REF!</v>
      </c>
      <c r="W101" s="5" t="e">
        <f>#REF!</f>
        <v>#REF!</v>
      </c>
      <c r="X101" s="6" t="str">
        <f>IFERROR(VLOOKUP(ROWS($X$2:X101),$U$2:$W$151,2,FALSE),"")</f>
        <v/>
      </c>
      <c r="Y101" s="6" t="str">
        <f>IFERROR(VLOOKUP(ROWS($X$2:X101),$U$2:$W$151,3,FALSE),"")</f>
        <v/>
      </c>
      <c r="AA101" s="5">
        <f>IF(ISNUMBER(SEARCH(#REF!,AB101)),MAX($AA$1:AA100)+1,0)</f>
        <v>0</v>
      </c>
      <c r="AB101" s="5" t="e">
        <f>#REF!</f>
        <v>#REF!</v>
      </c>
      <c r="AC101" s="5" t="e">
        <f>#REF!</f>
        <v>#REF!</v>
      </c>
      <c r="AD101" s="6" t="str">
        <f>IFERROR(VLOOKUP(ROWS($AD$2:AD101),$AA$2:$AC$151,2,FALSE),"")</f>
        <v/>
      </c>
      <c r="AE101" s="6" t="str">
        <f>IFERROR(VLOOKUP(ROWS($AD$2:AD101),$AA$2:$AC$151,3,FALSE),"")</f>
        <v/>
      </c>
      <c r="AG101" s="7">
        <f>IF(ISNUMBER(SEARCH(#REF!,AH101)),MAX($AG$1:AG100)+1,0)</f>
        <v>0</v>
      </c>
      <c r="AH101" s="7" t="e">
        <f>#REF!</f>
        <v>#REF!</v>
      </c>
      <c r="AI101" s="7" t="e">
        <f>#REF!</f>
        <v>#REF!</v>
      </c>
      <c r="AJ101" s="8" t="str">
        <f>IFERROR(VLOOKUP(ROWS(AJ$2:AJ101),$AG$2:$AI$151,2,FALSE),"")</f>
        <v/>
      </c>
      <c r="AK101" s="8" t="str">
        <f>IFERROR(VLOOKUP(ROWS($AJ$2:AJ101),$AG$2:$AI$151,3,FALSE),"")</f>
        <v/>
      </c>
      <c r="AM101" s="7">
        <f>IF(ISNUMBER(SEARCH(#REF!,AN101)),MAX($AM$1:AM100)+1,0)</f>
        <v>0</v>
      </c>
      <c r="AN101" s="7" t="e">
        <f>#REF!</f>
        <v>#REF!</v>
      </c>
      <c r="AO101" s="7" t="e">
        <f>#REF!</f>
        <v>#REF!</v>
      </c>
      <c r="AP101" s="8" t="str">
        <f>IFERROR(VLOOKUP(ROWS($AP$2:AP101),$AM$2:$AO$151,2,FALSE),"")</f>
        <v/>
      </c>
      <c r="AQ101" s="8" t="str">
        <f>IFERROR(VLOOKUP(ROWS($AP$2:AP101),$AM$2:$AO$151,3,FALSE),"")</f>
        <v/>
      </c>
      <c r="AS101" s="9">
        <f>IF(ISNUMBER(SEARCH(#REF!,AT101)),MAX($AS$1:AS100)+1,0)</f>
        <v>0</v>
      </c>
      <c r="AT101" s="9" t="e">
        <f>#REF!</f>
        <v>#REF!</v>
      </c>
      <c r="AU101" s="9" t="e">
        <f>#REF!</f>
        <v>#REF!</v>
      </c>
      <c r="AV101" s="10" t="str">
        <f>IFERROR(VLOOKUP(ROWS(AV$2:AV101),$AS$2:$AU$151,2,FALSE),"")</f>
        <v/>
      </c>
      <c r="AW101" s="10" t="str">
        <f>IFERROR(VLOOKUP(ROWS($AV$2:AV101),$AS$2:$AU$151,3,FALSE),"")</f>
        <v/>
      </c>
      <c r="AY101" s="9">
        <f>IF(ISNUMBER(SEARCH(#REF!,AZ101)),MAX($AY$1:AY100)+1,0)</f>
        <v>0</v>
      </c>
      <c r="AZ101" s="9" t="e">
        <f>#REF!</f>
        <v>#REF!</v>
      </c>
      <c r="BA101" s="9" t="e">
        <f>#REF!</f>
        <v>#REF!</v>
      </c>
      <c r="BB101" s="10" t="str">
        <f>IFERROR(VLOOKUP(ROWS($BB$2:BB101),$AY$2:$BA$151,2,FALSE),"")</f>
        <v/>
      </c>
      <c r="BC101" s="10" t="str">
        <f>IFERROR(VLOOKUP(ROWS($BB$2:BB101),$AY$2:$BA$151,3,FALSE),"")</f>
        <v/>
      </c>
    </row>
    <row r="102" spans="3:55" x14ac:dyDescent="0.25">
      <c r="C102" s="3">
        <f>IF(ISNUMBER(SEARCH(#REF!,D102)),MAX($C$1:C101)+1,0)</f>
        <v>0</v>
      </c>
      <c r="D102" s="3" t="e">
        <f>#REF!</f>
        <v>#REF!</v>
      </c>
      <c r="E102" s="3" t="e">
        <f>#REF!</f>
        <v>#REF!</v>
      </c>
      <c r="F102" s="4" t="str">
        <f>IFERROR(VLOOKUP(ROWS($F$2:F102),$C$2:$E$151,2,FALSE),"")</f>
        <v/>
      </c>
      <c r="G102" s="4" t="str">
        <f>IFERROR(VLOOKUP(ROWS($F$2:F102),$C$2:$E$151,3,FALSE),"")</f>
        <v/>
      </c>
      <c r="I102" s="3">
        <f>IF(ISNUMBER(SEARCH(#REF!,J102)),MAX($I$1:I101)+1,0)</f>
        <v>0</v>
      </c>
      <c r="J102" s="3" t="e">
        <f>#REF!</f>
        <v>#REF!</v>
      </c>
      <c r="K102" s="3" t="e">
        <f>#REF!</f>
        <v>#REF!</v>
      </c>
      <c r="L102" s="4" t="str">
        <f>IFERROR(VLOOKUP(ROWS($L$2:L102),$I$2:$K$151,2,FALSE),"")</f>
        <v/>
      </c>
      <c r="M102" s="4" t="str">
        <f>IFERROR(VLOOKUP(ROWS($L$2:L102),$I$2:$K$151,3,FALSE),"")</f>
        <v/>
      </c>
      <c r="O102" s="3">
        <f>IF(ISNUMBER(SEARCH(#REF!,P102)),MAX($O$1:O101)+1,0)</f>
        <v>0</v>
      </c>
      <c r="P102" s="3" t="e">
        <f>#REF!</f>
        <v>#REF!</v>
      </c>
      <c r="Q102" s="3" t="e">
        <f>#REF!</f>
        <v>#REF!</v>
      </c>
      <c r="R102" s="4" t="str">
        <f>IFERROR(VLOOKUP(ROWS($R$2:R102),$O$2:$Q$151,2,FALSE),"")</f>
        <v/>
      </c>
      <c r="S102" s="4" t="str">
        <f>IFERROR(VLOOKUP(ROWS($R$2:R102),$O$2:$Q$151,3,FALSE),"")</f>
        <v/>
      </c>
      <c r="U102" s="5">
        <f>IF(ISNUMBER(SEARCH(#REF!,V102)),MAX($U$1:U101)+1,0)</f>
        <v>0</v>
      </c>
      <c r="V102" s="5" t="e">
        <f>#REF!</f>
        <v>#REF!</v>
      </c>
      <c r="W102" s="5" t="e">
        <f>#REF!</f>
        <v>#REF!</v>
      </c>
      <c r="X102" s="6" t="str">
        <f>IFERROR(VLOOKUP(ROWS($X$2:X102),$U$2:$W$151,2,FALSE),"")</f>
        <v/>
      </c>
      <c r="Y102" s="6" t="str">
        <f>IFERROR(VLOOKUP(ROWS($X$2:X102),$U$2:$W$151,3,FALSE),"")</f>
        <v/>
      </c>
      <c r="AA102" s="5">
        <f>IF(ISNUMBER(SEARCH(#REF!,AB102)),MAX($AA$1:AA101)+1,0)</f>
        <v>0</v>
      </c>
      <c r="AB102" s="5" t="e">
        <f>#REF!</f>
        <v>#REF!</v>
      </c>
      <c r="AC102" s="5" t="e">
        <f>#REF!</f>
        <v>#REF!</v>
      </c>
      <c r="AD102" s="6" t="str">
        <f>IFERROR(VLOOKUP(ROWS($AD$2:AD102),$AA$2:$AC$151,2,FALSE),"")</f>
        <v/>
      </c>
      <c r="AE102" s="6" t="str">
        <f>IFERROR(VLOOKUP(ROWS($AD$2:AD102),$AA$2:$AC$151,3,FALSE),"")</f>
        <v/>
      </c>
      <c r="AG102" s="7">
        <f>IF(ISNUMBER(SEARCH(#REF!,AH102)),MAX($AG$1:AG101)+1,0)</f>
        <v>0</v>
      </c>
      <c r="AH102" s="7" t="e">
        <f>#REF!</f>
        <v>#REF!</v>
      </c>
      <c r="AI102" s="7" t="e">
        <f>#REF!</f>
        <v>#REF!</v>
      </c>
      <c r="AJ102" s="8" t="str">
        <f>IFERROR(VLOOKUP(ROWS(AJ$2:AJ102),$AG$2:$AI$151,2,FALSE),"")</f>
        <v/>
      </c>
      <c r="AK102" s="8" t="str">
        <f>IFERROR(VLOOKUP(ROWS($AJ$2:AJ102),$AG$2:$AI$151,3,FALSE),"")</f>
        <v/>
      </c>
      <c r="AM102" s="7">
        <f>IF(ISNUMBER(SEARCH(#REF!,AN102)),MAX($AM$1:AM101)+1,0)</f>
        <v>0</v>
      </c>
      <c r="AN102" s="7" t="e">
        <f>#REF!</f>
        <v>#REF!</v>
      </c>
      <c r="AO102" s="7" t="e">
        <f>#REF!</f>
        <v>#REF!</v>
      </c>
      <c r="AP102" s="8" t="str">
        <f>IFERROR(VLOOKUP(ROWS($AP$2:AP102),$AM$2:$AO$151,2,FALSE),"")</f>
        <v/>
      </c>
      <c r="AQ102" s="8" t="str">
        <f>IFERROR(VLOOKUP(ROWS($AP$2:AP102),$AM$2:$AO$151,3,FALSE),"")</f>
        <v/>
      </c>
      <c r="AS102" s="9">
        <f>IF(ISNUMBER(SEARCH(#REF!,AT102)),MAX($AS$1:AS101)+1,0)</f>
        <v>0</v>
      </c>
      <c r="AT102" s="9" t="e">
        <f>#REF!</f>
        <v>#REF!</v>
      </c>
      <c r="AU102" s="9" t="e">
        <f>#REF!</f>
        <v>#REF!</v>
      </c>
      <c r="AV102" s="10" t="str">
        <f>IFERROR(VLOOKUP(ROWS(AV$2:AV102),$AS$2:$AU$151,2,FALSE),"")</f>
        <v/>
      </c>
      <c r="AW102" s="10" t="str">
        <f>IFERROR(VLOOKUP(ROWS($AV$2:AV102),$AS$2:$AU$151,3,FALSE),"")</f>
        <v/>
      </c>
      <c r="AY102" s="9">
        <f>IF(ISNUMBER(SEARCH(#REF!,AZ102)),MAX($AY$1:AY101)+1,0)</f>
        <v>0</v>
      </c>
      <c r="AZ102" s="9" t="e">
        <f>#REF!</f>
        <v>#REF!</v>
      </c>
      <c r="BA102" s="9" t="e">
        <f>#REF!</f>
        <v>#REF!</v>
      </c>
      <c r="BB102" s="10" t="str">
        <f>IFERROR(VLOOKUP(ROWS($BB$2:BB102),$AY$2:$BA$151,2,FALSE),"")</f>
        <v/>
      </c>
      <c r="BC102" s="10" t="str">
        <f>IFERROR(VLOOKUP(ROWS($BB$2:BB102),$AY$2:$BA$151,3,FALSE),"")</f>
        <v/>
      </c>
    </row>
    <row r="103" spans="3:55" x14ac:dyDescent="0.25">
      <c r="C103" s="3">
        <f>IF(ISNUMBER(SEARCH(#REF!,D103)),MAX($C$1:C102)+1,0)</f>
        <v>0</v>
      </c>
      <c r="D103" s="3" t="e">
        <f>#REF!</f>
        <v>#REF!</v>
      </c>
      <c r="E103" s="3" t="e">
        <f>#REF!</f>
        <v>#REF!</v>
      </c>
      <c r="F103" s="4" t="str">
        <f>IFERROR(VLOOKUP(ROWS($F$2:F103),$C$2:$E$151,2,FALSE),"")</f>
        <v/>
      </c>
      <c r="G103" s="4" t="str">
        <f>IFERROR(VLOOKUP(ROWS($F$2:F103),$C$2:$E$151,3,FALSE),"")</f>
        <v/>
      </c>
      <c r="I103" s="3">
        <f>IF(ISNUMBER(SEARCH(#REF!,J103)),MAX($I$1:I102)+1,0)</f>
        <v>0</v>
      </c>
      <c r="J103" s="3" t="e">
        <f>#REF!</f>
        <v>#REF!</v>
      </c>
      <c r="K103" s="3" t="e">
        <f>#REF!</f>
        <v>#REF!</v>
      </c>
      <c r="L103" s="4" t="str">
        <f>IFERROR(VLOOKUP(ROWS($L$2:L103),$I$2:$K$151,2,FALSE),"")</f>
        <v/>
      </c>
      <c r="M103" s="4" t="str">
        <f>IFERROR(VLOOKUP(ROWS($L$2:L103),$I$2:$K$151,3,FALSE),"")</f>
        <v/>
      </c>
      <c r="O103" s="3">
        <f>IF(ISNUMBER(SEARCH(#REF!,P103)),MAX($O$1:O102)+1,0)</f>
        <v>0</v>
      </c>
      <c r="P103" s="3" t="e">
        <f>#REF!</f>
        <v>#REF!</v>
      </c>
      <c r="Q103" s="3" t="e">
        <f>#REF!</f>
        <v>#REF!</v>
      </c>
      <c r="R103" s="4" t="str">
        <f>IFERROR(VLOOKUP(ROWS($R$2:R103),$O$2:$Q$151,2,FALSE),"")</f>
        <v/>
      </c>
      <c r="S103" s="4" t="str">
        <f>IFERROR(VLOOKUP(ROWS($R$2:R103),$O$2:$Q$151,3,FALSE),"")</f>
        <v/>
      </c>
      <c r="U103" s="5">
        <f>IF(ISNUMBER(SEARCH(#REF!,V103)),MAX($U$1:U102)+1,0)</f>
        <v>0</v>
      </c>
      <c r="V103" s="5" t="e">
        <f>#REF!</f>
        <v>#REF!</v>
      </c>
      <c r="W103" s="5" t="e">
        <f>#REF!</f>
        <v>#REF!</v>
      </c>
      <c r="X103" s="6" t="str">
        <f>IFERROR(VLOOKUP(ROWS($X$2:X103),$U$2:$W$151,2,FALSE),"")</f>
        <v/>
      </c>
      <c r="Y103" s="6" t="str">
        <f>IFERROR(VLOOKUP(ROWS($X$2:X103),$U$2:$W$151,3,FALSE),"")</f>
        <v/>
      </c>
      <c r="AA103" s="5">
        <f>IF(ISNUMBER(SEARCH(#REF!,AB103)),MAX($AA$1:AA102)+1,0)</f>
        <v>0</v>
      </c>
      <c r="AB103" s="5" t="e">
        <f>#REF!</f>
        <v>#REF!</v>
      </c>
      <c r="AC103" s="5" t="e">
        <f>#REF!</f>
        <v>#REF!</v>
      </c>
      <c r="AD103" s="6" t="str">
        <f>IFERROR(VLOOKUP(ROWS($AD$2:AD103),$AA$2:$AC$151,2,FALSE),"")</f>
        <v/>
      </c>
      <c r="AE103" s="6" t="str">
        <f>IFERROR(VLOOKUP(ROWS($AD$2:AD103),$AA$2:$AC$151,3,FALSE),"")</f>
        <v/>
      </c>
      <c r="AG103" s="7">
        <f>IF(ISNUMBER(SEARCH(#REF!,AH103)),MAX($AG$1:AG102)+1,0)</f>
        <v>0</v>
      </c>
      <c r="AH103" s="7" t="e">
        <f>#REF!</f>
        <v>#REF!</v>
      </c>
      <c r="AI103" s="7" t="e">
        <f>#REF!</f>
        <v>#REF!</v>
      </c>
      <c r="AJ103" s="8" t="str">
        <f>IFERROR(VLOOKUP(ROWS(AJ$2:AJ103),$AG$2:$AI$151,2,FALSE),"")</f>
        <v/>
      </c>
      <c r="AK103" s="8" t="str">
        <f>IFERROR(VLOOKUP(ROWS($AJ$2:AJ103),$AG$2:$AI$151,3,FALSE),"")</f>
        <v/>
      </c>
      <c r="AM103" s="7">
        <f>IF(ISNUMBER(SEARCH(#REF!,AN103)),MAX($AM$1:AM102)+1,0)</f>
        <v>0</v>
      </c>
      <c r="AN103" s="7" t="e">
        <f>#REF!</f>
        <v>#REF!</v>
      </c>
      <c r="AO103" s="7" t="e">
        <f>#REF!</f>
        <v>#REF!</v>
      </c>
      <c r="AP103" s="8" t="str">
        <f>IFERROR(VLOOKUP(ROWS($AP$2:AP103),$AM$2:$AO$151,2,FALSE),"")</f>
        <v/>
      </c>
      <c r="AQ103" s="8" t="str">
        <f>IFERROR(VLOOKUP(ROWS($AP$2:AP103),$AM$2:$AO$151,3,FALSE),"")</f>
        <v/>
      </c>
      <c r="AS103" s="9">
        <f>IF(ISNUMBER(SEARCH(#REF!,AT103)),MAX($AS$1:AS102)+1,0)</f>
        <v>0</v>
      </c>
      <c r="AT103" s="9" t="e">
        <f>#REF!</f>
        <v>#REF!</v>
      </c>
      <c r="AU103" s="9" t="e">
        <f>#REF!</f>
        <v>#REF!</v>
      </c>
      <c r="AV103" s="10" t="str">
        <f>IFERROR(VLOOKUP(ROWS(AV$2:AV103),$AS$2:$AU$151,2,FALSE),"")</f>
        <v/>
      </c>
      <c r="AW103" s="10" t="str">
        <f>IFERROR(VLOOKUP(ROWS($AV$2:AV103),$AS$2:$AU$151,3,FALSE),"")</f>
        <v/>
      </c>
      <c r="AY103" s="9">
        <f>IF(ISNUMBER(SEARCH(#REF!,AZ103)),MAX($AY$1:AY102)+1,0)</f>
        <v>0</v>
      </c>
      <c r="AZ103" s="9" t="e">
        <f>#REF!</f>
        <v>#REF!</v>
      </c>
      <c r="BA103" s="9" t="e">
        <f>#REF!</f>
        <v>#REF!</v>
      </c>
      <c r="BB103" s="10" t="str">
        <f>IFERROR(VLOOKUP(ROWS($BB$2:BB103),$AY$2:$BA$151,2,FALSE),"")</f>
        <v/>
      </c>
      <c r="BC103" s="10" t="str">
        <f>IFERROR(VLOOKUP(ROWS($BB$2:BB103),$AY$2:$BA$151,3,FALSE),"")</f>
        <v/>
      </c>
    </row>
    <row r="104" spans="3:55" x14ac:dyDescent="0.25">
      <c r="C104" s="3">
        <f>IF(ISNUMBER(SEARCH(#REF!,D104)),MAX($C$1:C103)+1,0)</f>
        <v>0</v>
      </c>
      <c r="D104" s="3" t="e">
        <f>#REF!</f>
        <v>#REF!</v>
      </c>
      <c r="E104" s="3" t="e">
        <f>#REF!</f>
        <v>#REF!</v>
      </c>
      <c r="F104" s="4" t="str">
        <f>IFERROR(VLOOKUP(ROWS($F$2:F104),$C$2:$E$151,2,FALSE),"")</f>
        <v/>
      </c>
      <c r="G104" s="4" t="str">
        <f>IFERROR(VLOOKUP(ROWS($F$2:F104),$C$2:$E$151,3,FALSE),"")</f>
        <v/>
      </c>
      <c r="I104" s="3">
        <f>IF(ISNUMBER(SEARCH(#REF!,J104)),MAX($I$1:I103)+1,0)</f>
        <v>0</v>
      </c>
      <c r="J104" s="3" t="e">
        <f>#REF!</f>
        <v>#REF!</v>
      </c>
      <c r="K104" s="3" t="e">
        <f>#REF!</f>
        <v>#REF!</v>
      </c>
      <c r="L104" s="4" t="str">
        <f>IFERROR(VLOOKUP(ROWS($L$2:L104),$I$2:$K$151,2,FALSE),"")</f>
        <v/>
      </c>
      <c r="M104" s="4" t="str">
        <f>IFERROR(VLOOKUP(ROWS($L$2:L104),$I$2:$K$151,3,FALSE),"")</f>
        <v/>
      </c>
      <c r="O104" s="3">
        <f>IF(ISNUMBER(SEARCH(#REF!,P104)),MAX($O$1:O103)+1,0)</f>
        <v>0</v>
      </c>
      <c r="P104" s="3" t="e">
        <f>#REF!</f>
        <v>#REF!</v>
      </c>
      <c r="Q104" s="3" t="e">
        <f>#REF!</f>
        <v>#REF!</v>
      </c>
      <c r="R104" s="4" t="str">
        <f>IFERROR(VLOOKUP(ROWS($R$2:R104),$O$2:$Q$151,2,FALSE),"")</f>
        <v/>
      </c>
      <c r="S104" s="4" t="str">
        <f>IFERROR(VLOOKUP(ROWS($R$2:R104),$O$2:$Q$151,3,FALSE),"")</f>
        <v/>
      </c>
      <c r="U104" s="5">
        <f>IF(ISNUMBER(SEARCH(#REF!,V104)),MAX($U$1:U103)+1,0)</f>
        <v>0</v>
      </c>
      <c r="V104" s="5" t="e">
        <f>#REF!</f>
        <v>#REF!</v>
      </c>
      <c r="W104" s="5" t="e">
        <f>#REF!</f>
        <v>#REF!</v>
      </c>
      <c r="X104" s="6" t="str">
        <f>IFERROR(VLOOKUP(ROWS($X$2:X104),$U$2:$W$151,2,FALSE),"")</f>
        <v/>
      </c>
      <c r="Y104" s="6" t="str">
        <f>IFERROR(VLOOKUP(ROWS($X$2:X104),$U$2:$W$151,3,FALSE),"")</f>
        <v/>
      </c>
      <c r="AA104" s="5">
        <f>IF(ISNUMBER(SEARCH(#REF!,AB104)),MAX($AA$1:AA103)+1,0)</f>
        <v>0</v>
      </c>
      <c r="AB104" s="5" t="e">
        <f>#REF!</f>
        <v>#REF!</v>
      </c>
      <c r="AC104" s="5" t="e">
        <f>#REF!</f>
        <v>#REF!</v>
      </c>
      <c r="AD104" s="6" t="str">
        <f>IFERROR(VLOOKUP(ROWS($AD$2:AD104),$AA$2:$AC$151,2,FALSE),"")</f>
        <v/>
      </c>
      <c r="AE104" s="6" t="str">
        <f>IFERROR(VLOOKUP(ROWS($AD$2:AD104),$AA$2:$AC$151,3,FALSE),"")</f>
        <v/>
      </c>
      <c r="AG104" s="7">
        <f>IF(ISNUMBER(SEARCH(#REF!,AH104)),MAX($AG$1:AG103)+1,0)</f>
        <v>0</v>
      </c>
      <c r="AH104" s="7" t="e">
        <f>#REF!</f>
        <v>#REF!</v>
      </c>
      <c r="AI104" s="7" t="e">
        <f>#REF!</f>
        <v>#REF!</v>
      </c>
      <c r="AJ104" s="8" t="str">
        <f>IFERROR(VLOOKUP(ROWS(AJ$2:AJ104),$AG$2:$AI$151,2,FALSE),"")</f>
        <v/>
      </c>
      <c r="AK104" s="8" t="str">
        <f>IFERROR(VLOOKUP(ROWS($AJ$2:AJ104),$AG$2:$AI$151,3,FALSE),"")</f>
        <v/>
      </c>
      <c r="AM104" s="7">
        <f>IF(ISNUMBER(SEARCH(#REF!,AN104)),MAX($AM$1:AM103)+1,0)</f>
        <v>0</v>
      </c>
      <c r="AN104" s="7" t="e">
        <f>#REF!</f>
        <v>#REF!</v>
      </c>
      <c r="AO104" s="7" t="e">
        <f>#REF!</f>
        <v>#REF!</v>
      </c>
      <c r="AP104" s="8" t="str">
        <f>IFERROR(VLOOKUP(ROWS($AP$2:AP104),$AM$2:$AO$151,2,FALSE),"")</f>
        <v/>
      </c>
      <c r="AQ104" s="8" t="str">
        <f>IFERROR(VLOOKUP(ROWS($AP$2:AP104),$AM$2:$AO$151,3,FALSE),"")</f>
        <v/>
      </c>
      <c r="AS104" s="9">
        <f>IF(ISNUMBER(SEARCH(#REF!,AT104)),MAX($AS$1:AS103)+1,0)</f>
        <v>0</v>
      </c>
      <c r="AT104" s="9" t="e">
        <f>#REF!</f>
        <v>#REF!</v>
      </c>
      <c r="AU104" s="9" t="e">
        <f>#REF!</f>
        <v>#REF!</v>
      </c>
      <c r="AV104" s="10" t="str">
        <f>IFERROR(VLOOKUP(ROWS(AV$2:AV104),$AS$2:$AU$151,2,FALSE),"")</f>
        <v/>
      </c>
      <c r="AW104" s="10" t="str">
        <f>IFERROR(VLOOKUP(ROWS($AV$2:AV104),$AS$2:$AU$151,3,FALSE),"")</f>
        <v/>
      </c>
      <c r="AY104" s="9">
        <f>IF(ISNUMBER(SEARCH(#REF!,AZ104)),MAX($AY$1:AY103)+1,0)</f>
        <v>0</v>
      </c>
      <c r="AZ104" s="9" t="e">
        <f>#REF!</f>
        <v>#REF!</v>
      </c>
      <c r="BA104" s="9" t="e">
        <f>#REF!</f>
        <v>#REF!</v>
      </c>
      <c r="BB104" s="10" t="str">
        <f>IFERROR(VLOOKUP(ROWS($BB$2:BB104),$AY$2:$BA$151,2,FALSE),"")</f>
        <v/>
      </c>
      <c r="BC104" s="10" t="str">
        <f>IFERROR(VLOOKUP(ROWS($BB$2:BB104),$AY$2:$BA$151,3,FALSE),"")</f>
        <v/>
      </c>
    </row>
    <row r="105" spans="3:55" x14ac:dyDescent="0.25">
      <c r="C105" s="3">
        <f>IF(ISNUMBER(SEARCH(#REF!,D105)),MAX($C$1:C104)+1,0)</f>
        <v>0</v>
      </c>
      <c r="D105" s="3" t="e">
        <f>#REF!</f>
        <v>#REF!</v>
      </c>
      <c r="E105" s="3" t="e">
        <f>#REF!</f>
        <v>#REF!</v>
      </c>
      <c r="F105" s="4" t="str">
        <f>IFERROR(VLOOKUP(ROWS($F$2:F105),$C$2:$E$151,2,FALSE),"")</f>
        <v/>
      </c>
      <c r="G105" s="4" t="str">
        <f>IFERROR(VLOOKUP(ROWS($F$2:F105),$C$2:$E$151,3,FALSE),"")</f>
        <v/>
      </c>
      <c r="I105" s="3">
        <f>IF(ISNUMBER(SEARCH(#REF!,J105)),MAX($I$1:I104)+1,0)</f>
        <v>0</v>
      </c>
      <c r="J105" s="3" t="e">
        <f>#REF!</f>
        <v>#REF!</v>
      </c>
      <c r="K105" s="3" t="e">
        <f>#REF!</f>
        <v>#REF!</v>
      </c>
      <c r="L105" s="4" t="str">
        <f>IFERROR(VLOOKUP(ROWS($L$2:L105),$I$2:$K$151,2,FALSE),"")</f>
        <v/>
      </c>
      <c r="M105" s="4" t="str">
        <f>IFERROR(VLOOKUP(ROWS($L$2:L105),$I$2:$K$151,3,FALSE),"")</f>
        <v/>
      </c>
      <c r="O105" s="3">
        <f>IF(ISNUMBER(SEARCH(#REF!,P105)),MAX($O$1:O104)+1,0)</f>
        <v>0</v>
      </c>
      <c r="P105" s="3" t="e">
        <f>#REF!</f>
        <v>#REF!</v>
      </c>
      <c r="Q105" s="3" t="e">
        <f>#REF!</f>
        <v>#REF!</v>
      </c>
      <c r="R105" s="4" t="str">
        <f>IFERROR(VLOOKUP(ROWS($R$2:R105),$O$2:$Q$151,2,FALSE),"")</f>
        <v/>
      </c>
      <c r="S105" s="4" t="str">
        <f>IFERROR(VLOOKUP(ROWS($R$2:R105),$O$2:$Q$151,3,FALSE),"")</f>
        <v/>
      </c>
      <c r="U105" s="5">
        <f>IF(ISNUMBER(SEARCH(#REF!,V105)),MAX($U$1:U104)+1,0)</f>
        <v>0</v>
      </c>
      <c r="V105" s="5" t="e">
        <f>#REF!</f>
        <v>#REF!</v>
      </c>
      <c r="W105" s="5" t="e">
        <f>#REF!</f>
        <v>#REF!</v>
      </c>
      <c r="X105" s="6" t="str">
        <f>IFERROR(VLOOKUP(ROWS($X$2:X105),$U$2:$W$151,2,FALSE),"")</f>
        <v/>
      </c>
      <c r="Y105" s="6" t="str">
        <f>IFERROR(VLOOKUP(ROWS($X$2:X105),$U$2:$W$151,3,FALSE),"")</f>
        <v/>
      </c>
      <c r="AA105" s="5">
        <f>IF(ISNUMBER(SEARCH(#REF!,AB105)),MAX($AA$1:AA104)+1,0)</f>
        <v>0</v>
      </c>
      <c r="AB105" s="5" t="e">
        <f>#REF!</f>
        <v>#REF!</v>
      </c>
      <c r="AC105" s="5" t="e">
        <f>#REF!</f>
        <v>#REF!</v>
      </c>
      <c r="AD105" s="6" t="str">
        <f>IFERROR(VLOOKUP(ROWS($AD$2:AD105),$AA$2:$AC$151,2,FALSE),"")</f>
        <v/>
      </c>
      <c r="AE105" s="6" t="str">
        <f>IFERROR(VLOOKUP(ROWS($AD$2:AD105),$AA$2:$AC$151,3,FALSE),"")</f>
        <v/>
      </c>
      <c r="AG105" s="7">
        <f>IF(ISNUMBER(SEARCH(#REF!,AH105)),MAX($AG$1:AG104)+1,0)</f>
        <v>0</v>
      </c>
      <c r="AH105" s="7" t="e">
        <f>#REF!</f>
        <v>#REF!</v>
      </c>
      <c r="AI105" s="7" t="e">
        <f>#REF!</f>
        <v>#REF!</v>
      </c>
      <c r="AJ105" s="8" t="str">
        <f>IFERROR(VLOOKUP(ROWS(AJ$2:AJ105),$AG$2:$AI$151,2,FALSE),"")</f>
        <v/>
      </c>
      <c r="AK105" s="8" t="str">
        <f>IFERROR(VLOOKUP(ROWS($AJ$2:AJ105),$AG$2:$AI$151,3,FALSE),"")</f>
        <v/>
      </c>
      <c r="AM105" s="7">
        <f>IF(ISNUMBER(SEARCH(#REF!,AN105)),MAX($AM$1:AM104)+1,0)</f>
        <v>0</v>
      </c>
      <c r="AN105" s="7" t="e">
        <f>#REF!</f>
        <v>#REF!</v>
      </c>
      <c r="AO105" s="7" t="e">
        <f>#REF!</f>
        <v>#REF!</v>
      </c>
      <c r="AP105" s="8" t="str">
        <f>IFERROR(VLOOKUP(ROWS($AP$2:AP105),$AM$2:$AO$151,2,FALSE),"")</f>
        <v/>
      </c>
      <c r="AQ105" s="8" t="str">
        <f>IFERROR(VLOOKUP(ROWS($AP$2:AP105),$AM$2:$AO$151,3,FALSE),"")</f>
        <v/>
      </c>
      <c r="AS105" s="9">
        <f>IF(ISNUMBER(SEARCH(#REF!,AT105)),MAX($AS$1:AS104)+1,0)</f>
        <v>0</v>
      </c>
      <c r="AT105" s="9" t="e">
        <f>#REF!</f>
        <v>#REF!</v>
      </c>
      <c r="AU105" s="9" t="e">
        <f>#REF!</f>
        <v>#REF!</v>
      </c>
      <c r="AV105" s="10" t="str">
        <f>IFERROR(VLOOKUP(ROWS(AV$2:AV105),$AS$2:$AU$151,2,FALSE),"")</f>
        <v/>
      </c>
      <c r="AW105" s="10" t="str">
        <f>IFERROR(VLOOKUP(ROWS($AV$2:AV105),$AS$2:$AU$151,3,FALSE),"")</f>
        <v/>
      </c>
      <c r="AY105" s="9">
        <f>IF(ISNUMBER(SEARCH(#REF!,AZ105)),MAX($AY$1:AY104)+1,0)</f>
        <v>0</v>
      </c>
      <c r="AZ105" s="9" t="e">
        <f>#REF!</f>
        <v>#REF!</v>
      </c>
      <c r="BA105" s="9" t="e">
        <f>#REF!</f>
        <v>#REF!</v>
      </c>
      <c r="BB105" s="10" t="str">
        <f>IFERROR(VLOOKUP(ROWS($BB$2:BB105),$AY$2:$BA$151,2,FALSE),"")</f>
        <v/>
      </c>
      <c r="BC105" s="10" t="str">
        <f>IFERROR(VLOOKUP(ROWS($BB$2:BB105),$AY$2:$BA$151,3,FALSE),"")</f>
        <v/>
      </c>
    </row>
    <row r="106" spans="3:55" x14ac:dyDescent="0.25">
      <c r="C106" s="3">
        <f>IF(ISNUMBER(SEARCH(#REF!,D106)),MAX($C$1:C105)+1,0)</f>
        <v>0</v>
      </c>
      <c r="D106" s="3" t="e">
        <f>#REF!</f>
        <v>#REF!</v>
      </c>
      <c r="E106" s="3" t="e">
        <f>#REF!</f>
        <v>#REF!</v>
      </c>
      <c r="F106" s="4" t="str">
        <f>IFERROR(VLOOKUP(ROWS($F$2:F106),$C$2:$E$151,2,FALSE),"")</f>
        <v/>
      </c>
      <c r="G106" s="4" t="str">
        <f>IFERROR(VLOOKUP(ROWS($F$2:F106),$C$2:$E$151,3,FALSE),"")</f>
        <v/>
      </c>
      <c r="I106" s="3">
        <f>IF(ISNUMBER(SEARCH(#REF!,J106)),MAX($I$1:I105)+1,0)</f>
        <v>0</v>
      </c>
      <c r="J106" s="3" t="e">
        <f>#REF!</f>
        <v>#REF!</v>
      </c>
      <c r="K106" s="3" t="e">
        <f>#REF!</f>
        <v>#REF!</v>
      </c>
      <c r="L106" s="4" t="str">
        <f>IFERROR(VLOOKUP(ROWS($L$2:L106),$I$2:$K$151,2,FALSE),"")</f>
        <v/>
      </c>
      <c r="M106" s="4" t="str">
        <f>IFERROR(VLOOKUP(ROWS($L$2:L106),$I$2:$K$151,3,FALSE),"")</f>
        <v/>
      </c>
      <c r="O106" s="3">
        <f>IF(ISNUMBER(SEARCH(#REF!,P106)),MAX($O$1:O105)+1,0)</f>
        <v>0</v>
      </c>
      <c r="P106" s="3" t="e">
        <f>#REF!</f>
        <v>#REF!</v>
      </c>
      <c r="Q106" s="3" t="e">
        <f>#REF!</f>
        <v>#REF!</v>
      </c>
      <c r="R106" s="4" t="str">
        <f>IFERROR(VLOOKUP(ROWS($R$2:R106),$O$2:$Q$151,2,FALSE),"")</f>
        <v/>
      </c>
      <c r="S106" s="4" t="str">
        <f>IFERROR(VLOOKUP(ROWS($R$2:R106),$O$2:$Q$151,3,FALSE),"")</f>
        <v/>
      </c>
      <c r="U106" s="5">
        <f>IF(ISNUMBER(SEARCH(#REF!,V106)),MAX($U$1:U105)+1,0)</f>
        <v>0</v>
      </c>
      <c r="V106" s="5" t="e">
        <f>#REF!</f>
        <v>#REF!</v>
      </c>
      <c r="W106" s="5" t="e">
        <f>#REF!</f>
        <v>#REF!</v>
      </c>
      <c r="X106" s="6" t="str">
        <f>IFERROR(VLOOKUP(ROWS($X$2:X106),$U$2:$W$151,2,FALSE),"")</f>
        <v/>
      </c>
      <c r="Y106" s="6" t="str">
        <f>IFERROR(VLOOKUP(ROWS($X$2:X106),$U$2:$W$151,3,FALSE),"")</f>
        <v/>
      </c>
      <c r="AA106" s="5">
        <f>IF(ISNUMBER(SEARCH(#REF!,AB106)),MAX($AA$1:AA105)+1,0)</f>
        <v>0</v>
      </c>
      <c r="AB106" s="5" t="e">
        <f>#REF!</f>
        <v>#REF!</v>
      </c>
      <c r="AC106" s="5" t="e">
        <f>#REF!</f>
        <v>#REF!</v>
      </c>
      <c r="AD106" s="6" t="str">
        <f>IFERROR(VLOOKUP(ROWS($AD$2:AD106),$AA$2:$AC$151,2,FALSE),"")</f>
        <v/>
      </c>
      <c r="AE106" s="6" t="str">
        <f>IFERROR(VLOOKUP(ROWS($AD$2:AD106),$AA$2:$AC$151,3,FALSE),"")</f>
        <v/>
      </c>
      <c r="AG106" s="7">
        <f>IF(ISNUMBER(SEARCH(#REF!,AH106)),MAX($AG$1:AG105)+1,0)</f>
        <v>0</v>
      </c>
      <c r="AH106" s="7" t="e">
        <f>#REF!</f>
        <v>#REF!</v>
      </c>
      <c r="AI106" s="7" t="e">
        <f>#REF!</f>
        <v>#REF!</v>
      </c>
      <c r="AJ106" s="8" t="str">
        <f>IFERROR(VLOOKUP(ROWS(AJ$2:AJ106),$AG$2:$AI$151,2,FALSE),"")</f>
        <v/>
      </c>
      <c r="AK106" s="8" t="str">
        <f>IFERROR(VLOOKUP(ROWS($AJ$2:AJ106),$AG$2:$AI$151,3,FALSE),"")</f>
        <v/>
      </c>
      <c r="AM106" s="7">
        <f>IF(ISNUMBER(SEARCH(#REF!,AN106)),MAX($AM$1:AM105)+1,0)</f>
        <v>0</v>
      </c>
      <c r="AN106" s="7" t="e">
        <f>#REF!</f>
        <v>#REF!</v>
      </c>
      <c r="AO106" s="7" t="e">
        <f>#REF!</f>
        <v>#REF!</v>
      </c>
      <c r="AP106" s="8" t="str">
        <f>IFERROR(VLOOKUP(ROWS($AP$2:AP106),$AM$2:$AO$151,2,FALSE),"")</f>
        <v/>
      </c>
      <c r="AQ106" s="8" t="str">
        <f>IFERROR(VLOOKUP(ROWS($AP$2:AP106),$AM$2:$AO$151,3,FALSE),"")</f>
        <v/>
      </c>
      <c r="AS106" s="9">
        <f>IF(ISNUMBER(SEARCH(#REF!,AT106)),MAX($AS$1:AS105)+1,0)</f>
        <v>0</v>
      </c>
      <c r="AT106" s="9" t="e">
        <f>#REF!</f>
        <v>#REF!</v>
      </c>
      <c r="AU106" s="9" t="e">
        <f>#REF!</f>
        <v>#REF!</v>
      </c>
      <c r="AV106" s="10" t="str">
        <f>IFERROR(VLOOKUP(ROWS(AV$2:AV106),$AS$2:$AU$151,2,FALSE),"")</f>
        <v/>
      </c>
      <c r="AW106" s="10" t="str">
        <f>IFERROR(VLOOKUP(ROWS($AV$2:AV106),$AS$2:$AU$151,3,FALSE),"")</f>
        <v/>
      </c>
      <c r="AY106" s="9">
        <f>IF(ISNUMBER(SEARCH(#REF!,AZ106)),MAX($AY$1:AY105)+1,0)</f>
        <v>0</v>
      </c>
      <c r="AZ106" s="9" t="e">
        <f>#REF!</f>
        <v>#REF!</v>
      </c>
      <c r="BA106" s="9" t="e">
        <f>#REF!</f>
        <v>#REF!</v>
      </c>
      <c r="BB106" s="10" t="str">
        <f>IFERROR(VLOOKUP(ROWS($BB$2:BB106),$AY$2:$BA$151,2,FALSE),"")</f>
        <v/>
      </c>
      <c r="BC106" s="10" t="str">
        <f>IFERROR(VLOOKUP(ROWS($BB$2:BB106),$AY$2:$BA$151,3,FALSE),"")</f>
        <v/>
      </c>
    </row>
    <row r="107" spans="3:55" x14ac:dyDescent="0.25">
      <c r="C107" s="3">
        <f>IF(ISNUMBER(SEARCH(#REF!,D107)),MAX($C$1:C106)+1,0)</f>
        <v>0</v>
      </c>
      <c r="D107" s="3" t="e">
        <f>#REF!</f>
        <v>#REF!</v>
      </c>
      <c r="E107" s="3" t="e">
        <f>#REF!</f>
        <v>#REF!</v>
      </c>
      <c r="F107" s="4" t="str">
        <f>IFERROR(VLOOKUP(ROWS($F$2:F107),$C$2:$E$151,2,FALSE),"")</f>
        <v/>
      </c>
      <c r="G107" s="4" t="str">
        <f>IFERROR(VLOOKUP(ROWS($F$2:F107),$C$2:$E$151,3,FALSE),"")</f>
        <v/>
      </c>
      <c r="I107" s="3">
        <f>IF(ISNUMBER(SEARCH(#REF!,J107)),MAX($I$1:I106)+1,0)</f>
        <v>0</v>
      </c>
      <c r="J107" s="3" t="e">
        <f>#REF!</f>
        <v>#REF!</v>
      </c>
      <c r="K107" s="3" t="e">
        <f>#REF!</f>
        <v>#REF!</v>
      </c>
      <c r="L107" s="4" t="str">
        <f>IFERROR(VLOOKUP(ROWS($L$2:L107),$I$2:$K$151,2,FALSE),"")</f>
        <v/>
      </c>
      <c r="M107" s="4" t="str">
        <f>IFERROR(VLOOKUP(ROWS($L$2:L107),$I$2:$K$151,3,FALSE),"")</f>
        <v/>
      </c>
      <c r="O107" s="3">
        <f>IF(ISNUMBER(SEARCH(#REF!,P107)),MAX($O$1:O106)+1,0)</f>
        <v>0</v>
      </c>
      <c r="P107" s="3" t="e">
        <f>#REF!</f>
        <v>#REF!</v>
      </c>
      <c r="Q107" s="3" t="e">
        <f>#REF!</f>
        <v>#REF!</v>
      </c>
      <c r="R107" s="4" t="str">
        <f>IFERROR(VLOOKUP(ROWS($R$2:R107),$O$2:$Q$151,2,FALSE),"")</f>
        <v/>
      </c>
      <c r="S107" s="4" t="str">
        <f>IFERROR(VLOOKUP(ROWS($R$2:R107),$O$2:$Q$151,3,FALSE),"")</f>
        <v/>
      </c>
      <c r="U107" s="5">
        <f>IF(ISNUMBER(SEARCH(#REF!,V107)),MAX($U$1:U106)+1,0)</f>
        <v>0</v>
      </c>
      <c r="V107" s="5" t="e">
        <f>#REF!</f>
        <v>#REF!</v>
      </c>
      <c r="W107" s="5" t="e">
        <f>#REF!</f>
        <v>#REF!</v>
      </c>
      <c r="X107" s="6" t="str">
        <f>IFERROR(VLOOKUP(ROWS($X$2:X107),$U$2:$W$151,2,FALSE),"")</f>
        <v/>
      </c>
      <c r="Y107" s="6" t="str">
        <f>IFERROR(VLOOKUP(ROWS($X$2:X107),$U$2:$W$151,3,FALSE),"")</f>
        <v/>
      </c>
      <c r="AA107" s="5">
        <f>IF(ISNUMBER(SEARCH(#REF!,AB107)),MAX($AA$1:AA106)+1,0)</f>
        <v>0</v>
      </c>
      <c r="AB107" s="5" t="e">
        <f>#REF!</f>
        <v>#REF!</v>
      </c>
      <c r="AC107" s="5" t="e">
        <f>#REF!</f>
        <v>#REF!</v>
      </c>
      <c r="AD107" s="6" t="str">
        <f>IFERROR(VLOOKUP(ROWS($AD$2:AD107),$AA$2:$AC$151,2,FALSE),"")</f>
        <v/>
      </c>
      <c r="AE107" s="6" t="str">
        <f>IFERROR(VLOOKUP(ROWS($AD$2:AD107),$AA$2:$AC$151,3,FALSE),"")</f>
        <v/>
      </c>
      <c r="AG107" s="7">
        <f>IF(ISNUMBER(SEARCH(#REF!,AH107)),MAX($AG$1:AG106)+1,0)</f>
        <v>0</v>
      </c>
      <c r="AH107" s="7" t="e">
        <f>#REF!</f>
        <v>#REF!</v>
      </c>
      <c r="AI107" s="7" t="e">
        <f>#REF!</f>
        <v>#REF!</v>
      </c>
      <c r="AJ107" s="8" t="str">
        <f>IFERROR(VLOOKUP(ROWS(AJ$2:AJ107),$AG$2:$AI$151,2,FALSE),"")</f>
        <v/>
      </c>
      <c r="AK107" s="8" t="str">
        <f>IFERROR(VLOOKUP(ROWS($AJ$2:AJ107),$AG$2:$AI$151,3,FALSE),"")</f>
        <v/>
      </c>
      <c r="AM107" s="7">
        <f>IF(ISNUMBER(SEARCH(#REF!,AN107)),MAX($AM$1:AM106)+1,0)</f>
        <v>0</v>
      </c>
      <c r="AN107" s="7" t="e">
        <f>#REF!</f>
        <v>#REF!</v>
      </c>
      <c r="AO107" s="7" t="e">
        <f>#REF!</f>
        <v>#REF!</v>
      </c>
      <c r="AP107" s="8" t="str">
        <f>IFERROR(VLOOKUP(ROWS($AP$2:AP107),$AM$2:$AO$151,2,FALSE),"")</f>
        <v/>
      </c>
      <c r="AQ107" s="8" t="str">
        <f>IFERROR(VLOOKUP(ROWS($AP$2:AP107),$AM$2:$AO$151,3,FALSE),"")</f>
        <v/>
      </c>
      <c r="AS107" s="9">
        <f>IF(ISNUMBER(SEARCH(#REF!,AT107)),MAX($AS$1:AS106)+1,0)</f>
        <v>0</v>
      </c>
      <c r="AT107" s="9" t="e">
        <f>#REF!</f>
        <v>#REF!</v>
      </c>
      <c r="AU107" s="9" t="e">
        <f>#REF!</f>
        <v>#REF!</v>
      </c>
      <c r="AV107" s="10" t="str">
        <f>IFERROR(VLOOKUP(ROWS(AV$2:AV107),$AS$2:$AU$151,2,FALSE),"")</f>
        <v/>
      </c>
      <c r="AW107" s="10" t="str">
        <f>IFERROR(VLOOKUP(ROWS($AV$2:AV107),$AS$2:$AU$151,3,FALSE),"")</f>
        <v/>
      </c>
      <c r="AY107" s="9">
        <f>IF(ISNUMBER(SEARCH(#REF!,AZ107)),MAX($AY$1:AY106)+1,0)</f>
        <v>0</v>
      </c>
      <c r="AZ107" s="9" t="e">
        <f>#REF!</f>
        <v>#REF!</v>
      </c>
      <c r="BA107" s="9" t="e">
        <f>#REF!</f>
        <v>#REF!</v>
      </c>
      <c r="BB107" s="10" t="str">
        <f>IFERROR(VLOOKUP(ROWS($BB$2:BB107),$AY$2:$BA$151,2,FALSE),"")</f>
        <v/>
      </c>
      <c r="BC107" s="10" t="str">
        <f>IFERROR(VLOOKUP(ROWS($BB$2:BB107),$AY$2:$BA$151,3,FALSE),"")</f>
        <v/>
      </c>
    </row>
    <row r="108" spans="3:55" x14ac:dyDescent="0.25">
      <c r="C108" s="3">
        <f>IF(ISNUMBER(SEARCH(#REF!,D108)),MAX($C$1:C107)+1,0)</f>
        <v>0</v>
      </c>
      <c r="D108" s="3" t="e">
        <f>#REF!</f>
        <v>#REF!</v>
      </c>
      <c r="E108" s="3" t="e">
        <f>#REF!</f>
        <v>#REF!</v>
      </c>
      <c r="F108" s="4" t="str">
        <f>IFERROR(VLOOKUP(ROWS($F$2:F108),$C$2:$E$151,2,FALSE),"")</f>
        <v/>
      </c>
      <c r="G108" s="4" t="str">
        <f>IFERROR(VLOOKUP(ROWS($F$2:F108),$C$2:$E$151,3,FALSE),"")</f>
        <v/>
      </c>
      <c r="I108" s="3">
        <f>IF(ISNUMBER(SEARCH(#REF!,J108)),MAX($I$1:I107)+1,0)</f>
        <v>0</v>
      </c>
      <c r="J108" s="3" t="e">
        <f>#REF!</f>
        <v>#REF!</v>
      </c>
      <c r="K108" s="3" t="e">
        <f>#REF!</f>
        <v>#REF!</v>
      </c>
      <c r="L108" s="4" t="str">
        <f>IFERROR(VLOOKUP(ROWS($L$2:L108),$I$2:$K$151,2,FALSE),"")</f>
        <v/>
      </c>
      <c r="M108" s="4" t="str">
        <f>IFERROR(VLOOKUP(ROWS($L$2:L108),$I$2:$K$151,3,FALSE),"")</f>
        <v/>
      </c>
      <c r="O108" s="3">
        <f>IF(ISNUMBER(SEARCH(#REF!,P108)),MAX($O$1:O107)+1,0)</f>
        <v>0</v>
      </c>
      <c r="P108" s="3" t="e">
        <f>#REF!</f>
        <v>#REF!</v>
      </c>
      <c r="Q108" s="3" t="e">
        <f>#REF!</f>
        <v>#REF!</v>
      </c>
      <c r="R108" s="4" t="str">
        <f>IFERROR(VLOOKUP(ROWS($R$2:R108),$O$2:$Q$151,2,FALSE),"")</f>
        <v/>
      </c>
      <c r="S108" s="4" t="str">
        <f>IFERROR(VLOOKUP(ROWS($R$2:R108),$O$2:$Q$151,3,FALSE),"")</f>
        <v/>
      </c>
      <c r="U108" s="5">
        <f>IF(ISNUMBER(SEARCH(#REF!,V108)),MAX($U$1:U107)+1,0)</f>
        <v>0</v>
      </c>
      <c r="V108" s="5" t="e">
        <f>#REF!</f>
        <v>#REF!</v>
      </c>
      <c r="W108" s="5" t="e">
        <f>#REF!</f>
        <v>#REF!</v>
      </c>
      <c r="X108" s="6" t="str">
        <f>IFERROR(VLOOKUP(ROWS($X$2:X108),$U$2:$W$151,2,FALSE),"")</f>
        <v/>
      </c>
      <c r="Y108" s="6" t="str">
        <f>IFERROR(VLOOKUP(ROWS($X$2:X108),$U$2:$W$151,3,FALSE),"")</f>
        <v/>
      </c>
      <c r="AA108" s="5">
        <f>IF(ISNUMBER(SEARCH(#REF!,AB108)),MAX($AA$1:AA107)+1,0)</f>
        <v>0</v>
      </c>
      <c r="AB108" s="5" t="e">
        <f>#REF!</f>
        <v>#REF!</v>
      </c>
      <c r="AC108" s="5" t="e">
        <f>#REF!</f>
        <v>#REF!</v>
      </c>
      <c r="AD108" s="6" t="str">
        <f>IFERROR(VLOOKUP(ROWS($AD$2:AD108),$AA$2:$AC$151,2,FALSE),"")</f>
        <v/>
      </c>
      <c r="AE108" s="6" t="str">
        <f>IFERROR(VLOOKUP(ROWS($AD$2:AD108),$AA$2:$AC$151,3,FALSE),"")</f>
        <v/>
      </c>
      <c r="AG108" s="7">
        <f>IF(ISNUMBER(SEARCH(#REF!,AH108)),MAX($AG$1:AG107)+1,0)</f>
        <v>0</v>
      </c>
      <c r="AH108" s="7" t="e">
        <f>#REF!</f>
        <v>#REF!</v>
      </c>
      <c r="AI108" s="7" t="e">
        <f>#REF!</f>
        <v>#REF!</v>
      </c>
      <c r="AJ108" s="8" t="str">
        <f>IFERROR(VLOOKUP(ROWS(AJ$2:AJ108),$AG$2:$AI$151,2,FALSE),"")</f>
        <v/>
      </c>
      <c r="AK108" s="8" t="str">
        <f>IFERROR(VLOOKUP(ROWS($AJ$2:AJ108),$AG$2:$AI$151,3,FALSE),"")</f>
        <v/>
      </c>
      <c r="AM108" s="7">
        <f>IF(ISNUMBER(SEARCH(#REF!,AN108)),MAX($AM$1:AM107)+1,0)</f>
        <v>0</v>
      </c>
      <c r="AN108" s="7" t="e">
        <f>#REF!</f>
        <v>#REF!</v>
      </c>
      <c r="AO108" s="7" t="e">
        <f>#REF!</f>
        <v>#REF!</v>
      </c>
      <c r="AP108" s="8" t="str">
        <f>IFERROR(VLOOKUP(ROWS($AP$2:AP108),$AM$2:$AO$151,2,FALSE),"")</f>
        <v/>
      </c>
      <c r="AQ108" s="8" t="str">
        <f>IFERROR(VLOOKUP(ROWS($AP$2:AP108),$AM$2:$AO$151,3,FALSE),"")</f>
        <v/>
      </c>
      <c r="AS108" s="9">
        <f>IF(ISNUMBER(SEARCH(#REF!,AT108)),MAX($AS$1:AS107)+1,0)</f>
        <v>0</v>
      </c>
      <c r="AT108" s="9" t="e">
        <f>#REF!</f>
        <v>#REF!</v>
      </c>
      <c r="AU108" s="9" t="e">
        <f>#REF!</f>
        <v>#REF!</v>
      </c>
      <c r="AV108" s="10" t="str">
        <f>IFERROR(VLOOKUP(ROWS(AV$2:AV108),$AS$2:$AU$151,2,FALSE),"")</f>
        <v/>
      </c>
      <c r="AW108" s="10" t="str">
        <f>IFERROR(VLOOKUP(ROWS($AV$2:AV108),$AS$2:$AU$151,3,FALSE),"")</f>
        <v/>
      </c>
      <c r="AY108" s="9">
        <f>IF(ISNUMBER(SEARCH(#REF!,AZ108)),MAX($AY$1:AY107)+1,0)</f>
        <v>0</v>
      </c>
      <c r="AZ108" s="9" t="e">
        <f>#REF!</f>
        <v>#REF!</v>
      </c>
      <c r="BA108" s="9" t="e">
        <f>#REF!</f>
        <v>#REF!</v>
      </c>
      <c r="BB108" s="10" t="str">
        <f>IFERROR(VLOOKUP(ROWS($BB$2:BB108),$AY$2:$BA$151,2,FALSE),"")</f>
        <v/>
      </c>
      <c r="BC108" s="10" t="str">
        <f>IFERROR(VLOOKUP(ROWS($BB$2:BB108),$AY$2:$BA$151,3,FALSE),"")</f>
        <v/>
      </c>
    </row>
    <row r="109" spans="3:55" x14ac:dyDescent="0.25">
      <c r="C109" s="3">
        <f>IF(ISNUMBER(SEARCH(#REF!,D109)),MAX($C$1:C108)+1,0)</f>
        <v>0</v>
      </c>
      <c r="D109" s="3" t="e">
        <f>#REF!</f>
        <v>#REF!</v>
      </c>
      <c r="E109" s="3" t="e">
        <f>#REF!</f>
        <v>#REF!</v>
      </c>
      <c r="F109" s="4" t="str">
        <f>IFERROR(VLOOKUP(ROWS($F$2:F109),$C$2:$E$151,2,FALSE),"")</f>
        <v/>
      </c>
      <c r="G109" s="4" t="str">
        <f>IFERROR(VLOOKUP(ROWS($F$2:F109),$C$2:$E$151,3,FALSE),"")</f>
        <v/>
      </c>
      <c r="I109" s="3">
        <f>IF(ISNUMBER(SEARCH(#REF!,J109)),MAX($I$1:I108)+1,0)</f>
        <v>0</v>
      </c>
      <c r="J109" s="3" t="e">
        <f>#REF!</f>
        <v>#REF!</v>
      </c>
      <c r="K109" s="3" t="e">
        <f>#REF!</f>
        <v>#REF!</v>
      </c>
      <c r="L109" s="4" t="str">
        <f>IFERROR(VLOOKUP(ROWS($L$2:L109),$I$2:$K$151,2,FALSE),"")</f>
        <v/>
      </c>
      <c r="M109" s="4" t="str">
        <f>IFERROR(VLOOKUP(ROWS($L$2:L109),$I$2:$K$151,3,FALSE),"")</f>
        <v/>
      </c>
      <c r="O109" s="3">
        <f>IF(ISNUMBER(SEARCH(#REF!,P109)),MAX($O$1:O108)+1,0)</f>
        <v>0</v>
      </c>
      <c r="P109" s="3" t="e">
        <f>#REF!</f>
        <v>#REF!</v>
      </c>
      <c r="Q109" s="3" t="e">
        <f>#REF!</f>
        <v>#REF!</v>
      </c>
      <c r="R109" s="4" t="str">
        <f>IFERROR(VLOOKUP(ROWS($R$2:R109),$O$2:$Q$151,2,FALSE),"")</f>
        <v/>
      </c>
      <c r="S109" s="4" t="str">
        <f>IFERROR(VLOOKUP(ROWS($R$2:R109),$O$2:$Q$151,3,FALSE),"")</f>
        <v/>
      </c>
      <c r="U109" s="5">
        <f>IF(ISNUMBER(SEARCH(#REF!,V109)),MAX($U$1:U108)+1,0)</f>
        <v>0</v>
      </c>
      <c r="V109" s="5" t="e">
        <f>#REF!</f>
        <v>#REF!</v>
      </c>
      <c r="W109" s="5" t="e">
        <f>#REF!</f>
        <v>#REF!</v>
      </c>
      <c r="X109" s="6" t="str">
        <f>IFERROR(VLOOKUP(ROWS($X$2:X109),$U$2:$W$151,2,FALSE),"")</f>
        <v/>
      </c>
      <c r="Y109" s="6" t="str">
        <f>IFERROR(VLOOKUP(ROWS($X$2:X109),$U$2:$W$151,3,FALSE),"")</f>
        <v/>
      </c>
      <c r="AA109" s="5">
        <f>IF(ISNUMBER(SEARCH(#REF!,AB109)),MAX($AA$1:AA108)+1,0)</f>
        <v>0</v>
      </c>
      <c r="AB109" s="5" t="e">
        <f>#REF!</f>
        <v>#REF!</v>
      </c>
      <c r="AC109" s="5" t="e">
        <f>#REF!</f>
        <v>#REF!</v>
      </c>
      <c r="AD109" s="6" t="str">
        <f>IFERROR(VLOOKUP(ROWS($AD$2:AD109),$AA$2:$AC$151,2,FALSE),"")</f>
        <v/>
      </c>
      <c r="AE109" s="6" t="str">
        <f>IFERROR(VLOOKUP(ROWS($AD$2:AD109),$AA$2:$AC$151,3,FALSE),"")</f>
        <v/>
      </c>
      <c r="AG109" s="7">
        <f>IF(ISNUMBER(SEARCH(#REF!,AH109)),MAX($AG$1:AG108)+1,0)</f>
        <v>0</v>
      </c>
      <c r="AH109" s="7" t="e">
        <f>#REF!</f>
        <v>#REF!</v>
      </c>
      <c r="AI109" s="7" t="e">
        <f>#REF!</f>
        <v>#REF!</v>
      </c>
      <c r="AJ109" s="8" t="str">
        <f>IFERROR(VLOOKUP(ROWS(AJ$2:AJ109),$AG$2:$AI$151,2,FALSE),"")</f>
        <v/>
      </c>
      <c r="AK109" s="8" t="str">
        <f>IFERROR(VLOOKUP(ROWS($AJ$2:AJ109),$AG$2:$AI$151,3,FALSE),"")</f>
        <v/>
      </c>
      <c r="AM109" s="7">
        <f>IF(ISNUMBER(SEARCH(#REF!,AN109)),MAX($AM$1:AM108)+1,0)</f>
        <v>0</v>
      </c>
      <c r="AN109" s="7" t="e">
        <f>#REF!</f>
        <v>#REF!</v>
      </c>
      <c r="AO109" s="7" t="e">
        <f>#REF!</f>
        <v>#REF!</v>
      </c>
      <c r="AP109" s="8" t="str">
        <f>IFERROR(VLOOKUP(ROWS($AP$2:AP109),$AM$2:$AO$151,2,FALSE),"")</f>
        <v/>
      </c>
      <c r="AQ109" s="8" t="str">
        <f>IFERROR(VLOOKUP(ROWS($AP$2:AP109),$AM$2:$AO$151,3,FALSE),"")</f>
        <v/>
      </c>
      <c r="AS109" s="9">
        <f>IF(ISNUMBER(SEARCH(#REF!,AT109)),MAX($AS$1:AS108)+1,0)</f>
        <v>0</v>
      </c>
      <c r="AT109" s="9" t="e">
        <f>#REF!</f>
        <v>#REF!</v>
      </c>
      <c r="AU109" s="9" t="e">
        <f>#REF!</f>
        <v>#REF!</v>
      </c>
      <c r="AV109" s="10" t="str">
        <f>IFERROR(VLOOKUP(ROWS(AV$2:AV109),$AS$2:$AU$151,2,FALSE),"")</f>
        <v/>
      </c>
      <c r="AW109" s="10" t="str">
        <f>IFERROR(VLOOKUP(ROWS($AV$2:AV109),$AS$2:$AU$151,3,FALSE),"")</f>
        <v/>
      </c>
      <c r="AY109" s="9">
        <f>IF(ISNUMBER(SEARCH(#REF!,AZ109)),MAX($AY$1:AY108)+1,0)</f>
        <v>0</v>
      </c>
      <c r="AZ109" s="9" t="e">
        <f>#REF!</f>
        <v>#REF!</v>
      </c>
      <c r="BA109" s="9" t="e">
        <f>#REF!</f>
        <v>#REF!</v>
      </c>
      <c r="BB109" s="10" t="str">
        <f>IFERROR(VLOOKUP(ROWS($BB$2:BB109),$AY$2:$BA$151,2,FALSE),"")</f>
        <v/>
      </c>
      <c r="BC109" s="10" t="str">
        <f>IFERROR(VLOOKUP(ROWS($BB$2:BB109),$AY$2:$BA$151,3,FALSE),"")</f>
        <v/>
      </c>
    </row>
    <row r="110" spans="3:55" x14ac:dyDescent="0.25">
      <c r="C110" s="3">
        <f>IF(ISNUMBER(SEARCH(#REF!,D110)),MAX($C$1:C109)+1,0)</f>
        <v>0</v>
      </c>
      <c r="D110" s="3" t="e">
        <f>#REF!</f>
        <v>#REF!</v>
      </c>
      <c r="E110" s="3" t="e">
        <f>#REF!</f>
        <v>#REF!</v>
      </c>
      <c r="F110" s="4" t="str">
        <f>IFERROR(VLOOKUP(ROWS($F$2:F110),$C$2:$E$151,2,FALSE),"")</f>
        <v/>
      </c>
      <c r="G110" s="4" t="str">
        <f>IFERROR(VLOOKUP(ROWS($F$2:F110),$C$2:$E$151,3,FALSE),"")</f>
        <v/>
      </c>
      <c r="I110" s="3">
        <f>IF(ISNUMBER(SEARCH(#REF!,J110)),MAX($I$1:I109)+1,0)</f>
        <v>0</v>
      </c>
      <c r="J110" s="3" t="e">
        <f>#REF!</f>
        <v>#REF!</v>
      </c>
      <c r="K110" s="3" t="e">
        <f>#REF!</f>
        <v>#REF!</v>
      </c>
      <c r="L110" s="4" t="str">
        <f>IFERROR(VLOOKUP(ROWS($L$2:L110),$I$2:$K$151,2,FALSE),"")</f>
        <v/>
      </c>
      <c r="M110" s="4" t="str">
        <f>IFERROR(VLOOKUP(ROWS($L$2:L110),$I$2:$K$151,3,FALSE),"")</f>
        <v/>
      </c>
      <c r="O110" s="3">
        <f>IF(ISNUMBER(SEARCH(#REF!,P110)),MAX($O$1:O109)+1,0)</f>
        <v>0</v>
      </c>
      <c r="P110" s="3" t="e">
        <f>#REF!</f>
        <v>#REF!</v>
      </c>
      <c r="Q110" s="3" t="e">
        <f>#REF!</f>
        <v>#REF!</v>
      </c>
      <c r="R110" s="4" t="str">
        <f>IFERROR(VLOOKUP(ROWS($R$2:R110),$O$2:$Q$151,2,FALSE),"")</f>
        <v/>
      </c>
      <c r="S110" s="4" t="str">
        <f>IFERROR(VLOOKUP(ROWS($R$2:R110),$O$2:$Q$151,3,FALSE),"")</f>
        <v/>
      </c>
      <c r="U110" s="5">
        <f>IF(ISNUMBER(SEARCH(#REF!,V110)),MAX($U$1:U109)+1,0)</f>
        <v>0</v>
      </c>
      <c r="V110" s="5" t="e">
        <f>#REF!</f>
        <v>#REF!</v>
      </c>
      <c r="W110" s="5" t="e">
        <f>#REF!</f>
        <v>#REF!</v>
      </c>
      <c r="X110" s="6" t="str">
        <f>IFERROR(VLOOKUP(ROWS($X$2:X110),$U$2:$W$151,2,FALSE),"")</f>
        <v/>
      </c>
      <c r="Y110" s="6" t="str">
        <f>IFERROR(VLOOKUP(ROWS($X$2:X110),$U$2:$W$151,3,FALSE),"")</f>
        <v/>
      </c>
      <c r="AA110" s="5">
        <f>IF(ISNUMBER(SEARCH(#REF!,AB110)),MAX($AA$1:AA109)+1,0)</f>
        <v>0</v>
      </c>
      <c r="AB110" s="5" t="e">
        <f>#REF!</f>
        <v>#REF!</v>
      </c>
      <c r="AC110" s="5" t="e">
        <f>#REF!</f>
        <v>#REF!</v>
      </c>
      <c r="AD110" s="6" t="str">
        <f>IFERROR(VLOOKUP(ROWS($AD$2:AD110),$AA$2:$AC$151,2,FALSE),"")</f>
        <v/>
      </c>
      <c r="AE110" s="6" t="str">
        <f>IFERROR(VLOOKUP(ROWS($AD$2:AD110),$AA$2:$AC$151,3,FALSE),"")</f>
        <v/>
      </c>
      <c r="AG110" s="7">
        <f>IF(ISNUMBER(SEARCH(#REF!,AH110)),MAX($AG$1:AG109)+1,0)</f>
        <v>0</v>
      </c>
      <c r="AH110" s="7" t="e">
        <f>#REF!</f>
        <v>#REF!</v>
      </c>
      <c r="AI110" s="7" t="e">
        <f>#REF!</f>
        <v>#REF!</v>
      </c>
      <c r="AJ110" s="8" t="str">
        <f>IFERROR(VLOOKUP(ROWS(AJ$2:AJ110),$AG$2:$AI$151,2,FALSE),"")</f>
        <v/>
      </c>
      <c r="AK110" s="8" t="str">
        <f>IFERROR(VLOOKUP(ROWS($AJ$2:AJ110),$AG$2:$AI$151,3,FALSE),"")</f>
        <v/>
      </c>
      <c r="AM110" s="7">
        <f>IF(ISNUMBER(SEARCH(#REF!,AN110)),MAX($AM$1:AM109)+1,0)</f>
        <v>0</v>
      </c>
      <c r="AN110" s="7" t="e">
        <f>#REF!</f>
        <v>#REF!</v>
      </c>
      <c r="AO110" s="7" t="e">
        <f>#REF!</f>
        <v>#REF!</v>
      </c>
      <c r="AP110" s="8" t="str">
        <f>IFERROR(VLOOKUP(ROWS($AP$2:AP110),$AM$2:$AO$151,2,FALSE),"")</f>
        <v/>
      </c>
      <c r="AQ110" s="8" t="str">
        <f>IFERROR(VLOOKUP(ROWS($AP$2:AP110),$AM$2:$AO$151,3,FALSE),"")</f>
        <v/>
      </c>
      <c r="AS110" s="9">
        <f>IF(ISNUMBER(SEARCH(#REF!,AT110)),MAX($AS$1:AS109)+1,0)</f>
        <v>0</v>
      </c>
      <c r="AT110" s="9" t="e">
        <f>#REF!</f>
        <v>#REF!</v>
      </c>
      <c r="AU110" s="9" t="e">
        <f>#REF!</f>
        <v>#REF!</v>
      </c>
      <c r="AV110" s="10" t="str">
        <f>IFERROR(VLOOKUP(ROWS(AV$2:AV110),$AS$2:$AU$151,2,FALSE),"")</f>
        <v/>
      </c>
      <c r="AW110" s="10" t="str">
        <f>IFERROR(VLOOKUP(ROWS($AV$2:AV110),$AS$2:$AU$151,3,FALSE),"")</f>
        <v/>
      </c>
      <c r="AY110" s="9">
        <f>IF(ISNUMBER(SEARCH(#REF!,AZ110)),MAX($AY$1:AY109)+1,0)</f>
        <v>0</v>
      </c>
      <c r="AZ110" s="9" t="e">
        <f>#REF!</f>
        <v>#REF!</v>
      </c>
      <c r="BA110" s="9" t="e">
        <f>#REF!</f>
        <v>#REF!</v>
      </c>
      <c r="BB110" s="10" t="str">
        <f>IFERROR(VLOOKUP(ROWS($BB$2:BB110),$AY$2:$BA$151,2,FALSE),"")</f>
        <v/>
      </c>
      <c r="BC110" s="10" t="str">
        <f>IFERROR(VLOOKUP(ROWS($BB$2:BB110),$AY$2:$BA$151,3,FALSE),"")</f>
        <v/>
      </c>
    </row>
    <row r="111" spans="3:55" x14ac:dyDescent="0.25">
      <c r="C111" s="3">
        <f>IF(ISNUMBER(SEARCH(#REF!,D111)),MAX($C$1:C110)+1,0)</f>
        <v>0</v>
      </c>
      <c r="D111" s="3" t="e">
        <f>#REF!</f>
        <v>#REF!</v>
      </c>
      <c r="E111" s="3" t="e">
        <f>#REF!</f>
        <v>#REF!</v>
      </c>
      <c r="F111" s="4" t="str">
        <f>IFERROR(VLOOKUP(ROWS($F$2:F111),$C$2:$E$151,2,FALSE),"")</f>
        <v/>
      </c>
      <c r="G111" s="4" t="str">
        <f>IFERROR(VLOOKUP(ROWS($F$2:F111),$C$2:$E$151,3,FALSE),"")</f>
        <v/>
      </c>
      <c r="I111" s="3">
        <f>IF(ISNUMBER(SEARCH(#REF!,J111)),MAX($I$1:I110)+1,0)</f>
        <v>0</v>
      </c>
      <c r="J111" s="3" t="e">
        <f>#REF!</f>
        <v>#REF!</v>
      </c>
      <c r="K111" s="3" t="e">
        <f>#REF!</f>
        <v>#REF!</v>
      </c>
      <c r="L111" s="4" t="str">
        <f>IFERROR(VLOOKUP(ROWS($L$2:L111),$I$2:$K$151,2,FALSE),"")</f>
        <v/>
      </c>
      <c r="M111" s="4" t="str">
        <f>IFERROR(VLOOKUP(ROWS($L$2:L111),$I$2:$K$151,3,FALSE),"")</f>
        <v/>
      </c>
      <c r="O111" s="3">
        <f>IF(ISNUMBER(SEARCH(#REF!,P111)),MAX($O$1:O110)+1,0)</f>
        <v>0</v>
      </c>
      <c r="P111" s="3" t="e">
        <f>#REF!</f>
        <v>#REF!</v>
      </c>
      <c r="Q111" s="3" t="e">
        <f>#REF!</f>
        <v>#REF!</v>
      </c>
      <c r="R111" s="4" t="str">
        <f>IFERROR(VLOOKUP(ROWS($R$2:R111),$O$2:$Q$151,2,FALSE),"")</f>
        <v/>
      </c>
      <c r="S111" s="4" t="str">
        <f>IFERROR(VLOOKUP(ROWS($R$2:R111),$O$2:$Q$151,3,FALSE),"")</f>
        <v/>
      </c>
      <c r="U111" s="5">
        <f>IF(ISNUMBER(SEARCH(#REF!,V111)),MAX($U$1:U110)+1,0)</f>
        <v>0</v>
      </c>
      <c r="V111" s="5" t="e">
        <f>#REF!</f>
        <v>#REF!</v>
      </c>
      <c r="W111" s="5" t="e">
        <f>#REF!</f>
        <v>#REF!</v>
      </c>
      <c r="X111" s="6" t="str">
        <f>IFERROR(VLOOKUP(ROWS($X$2:X111),$U$2:$W$151,2,FALSE),"")</f>
        <v/>
      </c>
      <c r="Y111" s="6" t="str">
        <f>IFERROR(VLOOKUP(ROWS($X$2:X111),$U$2:$W$151,3,FALSE),"")</f>
        <v/>
      </c>
      <c r="AA111" s="5">
        <f>IF(ISNUMBER(SEARCH(#REF!,AB111)),MAX($AA$1:AA110)+1,0)</f>
        <v>0</v>
      </c>
      <c r="AB111" s="5" t="e">
        <f>#REF!</f>
        <v>#REF!</v>
      </c>
      <c r="AC111" s="5" t="e">
        <f>#REF!</f>
        <v>#REF!</v>
      </c>
      <c r="AD111" s="6" t="str">
        <f>IFERROR(VLOOKUP(ROWS($AD$2:AD111),$AA$2:$AC$151,2,FALSE),"")</f>
        <v/>
      </c>
      <c r="AE111" s="6" t="str">
        <f>IFERROR(VLOOKUP(ROWS($AD$2:AD111),$AA$2:$AC$151,3,FALSE),"")</f>
        <v/>
      </c>
      <c r="AG111" s="7">
        <f>IF(ISNUMBER(SEARCH(#REF!,AH111)),MAX($AG$1:AG110)+1,0)</f>
        <v>0</v>
      </c>
      <c r="AH111" s="7" t="e">
        <f>#REF!</f>
        <v>#REF!</v>
      </c>
      <c r="AI111" s="7" t="e">
        <f>#REF!</f>
        <v>#REF!</v>
      </c>
      <c r="AJ111" s="8" t="str">
        <f>IFERROR(VLOOKUP(ROWS(AJ$2:AJ111),$AG$2:$AI$151,2,FALSE),"")</f>
        <v/>
      </c>
      <c r="AK111" s="8" t="str">
        <f>IFERROR(VLOOKUP(ROWS($AJ$2:AJ111),$AG$2:$AI$151,3,FALSE),"")</f>
        <v/>
      </c>
      <c r="AM111" s="7">
        <f>IF(ISNUMBER(SEARCH(#REF!,AN111)),MAX($AM$1:AM110)+1,0)</f>
        <v>0</v>
      </c>
      <c r="AN111" s="7" t="e">
        <f>#REF!</f>
        <v>#REF!</v>
      </c>
      <c r="AO111" s="7" t="e">
        <f>#REF!</f>
        <v>#REF!</v>
      </c>
      <c r="AP111" s="8" t="str">
        <f>IFERROR(VLOOKUP(ROWS($AP$2:AP111),$AM$2:$AO$151,2,FALSE),"")</f>
        <v/>
      </c>
      <c r="AQ111" s="8" t="str">
        <f>IFERROR(VLOOKUP(ROWS($AP$2:AP111),$AM$2:$AO$151,3,FALSE),"")</f>
        <v/>
      </c>
      <c r="AS111" s="9">
        <f>IF(ISNUMBER(SEARCH(#REF!,AT111)),MAX($AS$1:AS110)+1,0)</f>
        <v>0</v>
      </c>
      <c r="AT111" s="9" t="e">
        <f>#REF!</f>
        <v>#REF!</v>
      </c>
      <c r="AU111" s="9" t="e">
        <f>#REF!</f>
        <v>#REF!</v>
      </c>
      <c r="AV111" s="10" t="str">
        <f>IFERROR(VLOOKUP(ROWS(AV$2:AV111),$AS$2:$AU$151,2,FALSE),"")</f>
        <v/>
      </c>
      <c r="AW111" s="10" t="str">
        <f>IFERROR(VLOOKUP(ROWS($AV$2:AV111),$AS$2:$AU$151,3,FALSE),"")</f>
        <v/>
      </c>
      <c r="AY111" s="9">
        <f>IF(ISNUMBER(SEARCH(#REF!,AZ111)),MAX($AY$1:AY110)+1,0)</f>
        <v>0</v>
      </c>
      <c r="AZ111" s="9" t="e">
        <f>#REF!</f>
        <v>#REF!</v>
      </c>
      <c r="BA111" s="9" t="e">
        <f>#REF!</f>
        <v>#REF!</v>
      </c>
      <c r="BB111" s="10" t="str">
        <f>IFERROR(VLOOKUP(ROWS($BB$2:BB111),$AY$2:$BA$151,2,FALSE),"")</f>
        <v/>
      </c>
      <c r="BC111" s="10" t="str">
        <f>IFERROR(VLOOKUP(ROWS($BB$2:BB111),$AY$2:$BA$151,3,FALSE),"")</f>
        <v/>
      </c>
    </row>
    <row r="112" spans="3:55" x14ac:dyDescent="0.25">
      <c r="C112" s="3">
        <f>IF(ISNUMBER(SEARCH(#REF!,D112)),MAX($C$1:C111)+1,0)</f>
        <v>0</v>
      </c>
      <c r="D112" s="3" t="e">
        <f>#REF!</f>
        <v>#REF!</v>
      </c>
      <c r="E112" s="3" t="e">
        <f>#REF!</f>
        <v>#REF!</v>
      </c>
      <c r="F112" s="4" t="str">
        <f>IFERROR(VLOOKUP(ROWS($F$2:F112),$C$2:$E$151,2,FALSE),"")</f>
        <v/>
      </c>
      <c r="G112" s="4" t="str">
        <f>IFERROR(VLOOKUP(ROWS($F$2:F112),$C$2:$E$151,3,FALSE),"")</f>
        <v/>
      </c>
      <c r="I112" s="3">
        <f>IF(ISNUMBER(SEARCH(#REF!,J112)),MAX($I$1:I111)+1,0)</f>
        <v>0</v>
      </c>
      <c r="J112" s="3" t="e">
        <f>#REF!</f>
        <v>#REF!</v>
      </c>
      <c r="K112" s="3" t="e">
        <f>#REF!</f>
        <v>#REF!</v>
      </c>
      <c r="L112" s="4" t="str">
        <f>IFERROR(VLOOKUP(ROWS($L$2:L112),$I$2:$K$151,2,FALSE),"")</f>
        <v/>
      </c>
      <c r="M112" s="4" t="str">
        <f>IFERROR(VLOOKUP(ROWS($L$2:L112),$I$2:$K$151,3,FALSE),"")</f>
        <v/>
      </c>
      <c r="O112" s="3">
        <f>IF(ISNUMBER(SEARCH(#REF!,P112)),MAX($O$1:O111)+1,0)</f>
        <v>0</v>
      </c>
      <c r="P112" s="3" t="e">
        <f>#REF!</f>
        <v>#REF!</v>
      </c>
      <c r="Q112" s="3" t="e">
        <f>#REF!</f>
        <v>#REF!</v>
      </c>
      <c r="R112" s="4" t="str">
        <f>IFERROR(VLOOKUP(ROWS($R$2:R112),$O$2:$Q$151,2,FALSE),"")</f>
        <v/>
      </c>
      <c r="S112" s="4" t="str">
        <f>IFERROR(VLOOKUP(ROWS($R$2:R112),$O$2:$Q$151,3,FALSE),"")</f>
        <v/>
      </c>
      <c r="U112" s="5">
        <f>IF(ISNUMBER(SEARCH(#REF!,V112)),MAX($U$1:U111)+1,0)</f>
        <v>0</v>
      </c>
      <c r="V112" s="5" t="e">
        <f>#REF!</f>
        <v>#REF!</v>
      </c>
      <c r="W112" s="5" t="e">
        <f>#REF!</f>
        <v>#REF!</v>
      </c>
      <c r="X112" s="6" t="str">
        <f>IFERROR(VLOOKUP(ROWS($X$2:X112),$U$2:$W$151,2,FALSE),"")</f>
        <v/>
      </c>
      <c r="Y112" s="6" t="str">
        <f>IFERROR(VLOOKUP(ROWS($X$2:X112),$U$2:$W$151,3,FALSE),"")</f>
        <v/>
      </c>
      <c r="AA112" s="5">
        <f>IF(ISNUMBER(SEARCH(#REF!,AB112)),MAX($AA$1:AA111)+1,0)</f>
        <v>0</v>
      </c>
      <c r="AB112" s="5" t="e">
        <f>#REF!</f>
        <v>#REF!</v>
      </c>
      <c r="AC112" s="5" t="e">
        <f>#REF!</f>
        <v>#REF!</v>
      </c>
      <c r="AD112" s="6" t="str">
        <f>IFERROR(VLOOKUP(ROWS($AD$2:AD112),$AA$2:$AC$151,2,FALSE),"")</f>
        <v/>
      </c>
      <c r="AE112" s="6" t="str">
        <f>IFERROR(VLOOKUP(ROWS($AD$2:AD112),$AA$2:$AC$151,3,FALSE),"")</f>
        <v/>
      </c>
      <c r="AG112" s="7">
        <f>IF(ISNUMBER(SEARCH(#REF!,AH112)),MAX($AG$1:AG111)+1,0)</f>
        <v>0</v>
      </c>
      <c r="AH112" s="7" t="e">
        <f>#REF!</f>
        <v>#REF!</v>
      </c>
      <c r="AI112" s="7" t="e">
        <f>#REF!</f>
        <v>#REF!</v>
      </c>
      <c r="AJ112" s="8" t="str">
        <f>IFERROR(VLOOKUP(ROWS(AJ$2:AJ112),$AG$2:$AI$151,2,FALSE),"")</f>
        <v/>
      </c>
      <c r="AK112" s="8" t="str">
        <f>IFERROR(VLOOKUP(ROWS($AJ$2:AJ112),$AG$2:$AI$151,3,FALSE),"")</f>
        <v/>
      </c>
      <c r="AM112" s="7">
        <f>IF(ISNUMBER(SEARCH(#REF!,AN112)),MAX($AM$1:AM111)+1,0)</f>
        <v>0</v>
      </c>
      <c r="AN112" s="7" t="e">
        <f>#REF!</f>
        <v>#REF!</v>
      </c>
      <c r="AO112" s="7" t="e">
        <f>#REF!</f>
        <v>#REF!</v>
      </c>
      <c r="AP112" s="8" t="str">
        <f>IFERROR(VLOOKUP(ROWS($AP$2:AP112),$AM$2:$AO$151,2,FALSE),"")</f>
        <v/>
      </c>
      <c r="AQ112" s="8" t="str">
        <f>IFERROR(VLOOKUP(ROWS($AP$2:AP112),$AM$2:$AO$151,3,FALSE),"")</f>
        <v/>
      </c>
      <c r="AS112" s="9">
        <f>IF(ISNUMBER(SEARCH(#REF!,AT112)),MAX($AS$1:AS111)+1,0)</f>
        <v>0</v>
      </c>
      <c r="AT112" s="9" t="e">
        <f>#REF!</f>
        <v>#REF!</v>
      </c>
      <c r="AU112" s="9" t="e">
        <f>#REF!</f>
        <v>#REF!</v>
      </c>
      <c r="AV112" s="10" t="str">
        <f>IFERROR(VLOOKUP(ROWS(AV$2:AV112),$AS$2:$AU$151,2,FALSE),"")</f>
        <v/>
      </c>
      <c r="AW112" s="10" t="str">
        <f>IFERROR(VLOOKUP(ROWS($AV$2:AV112),$AS$2:$AU$151,3,FALSE),"")</f>
        <v/>
      </c>
      <c r="AY112" s="9">
        <f>IF(ISNUMBER(SEARCH(#REF!,AZ112)),MAX($AY$1:AY111)+1,0)</f>
        <v>0</v>
      </c>
      <c r="AZ112" s="9" t="e">
        <f>#REF!</f>
        <v>#REF!</v>
      </c>
      <c r="BA112" s="9" t="e">
        <f>#REF!</f>
        <v>#REF!</v>
      </c>
      <c r="BB112" s="10" t="str">
        <f>IFERROR(VLOOKUP(ROWS($BB$2:BB112),$AY$2:$BA$151,2,FALSE),"")</f>
        <v/>
      </c>
      <c r="BC112" s="10" t="str">
        <f>IFERROR(VLOOKUP(ROWS($BB$2:BB112),$AY$2:$BA$151,3,FALSE),"")</f>
        <v/>
      </c>
    </row>
    <row r="113" spans="3:55" x14ac:dyDescent="0.25">
      <c r="C113" s="3">
        <f>IF(ISNUMBER(SEARCH(#REF!,D113)),MAX($C$1:C112)+1,0)</f>
        <v>0</v>
      </c>
      <c r="D113" s="3" t="e">
        <f>#REF!</f>
        <v>#REF!</v>
      </c>
      <c r="E113" s="3" t="e">
        <f>#REF!</f>
        <v>#REF!</v>
      </c>
      <c r="F113" s="4" t="str">
        <f>IFERROR(VLOOKUP(ROWS($F$2:F113),$C$2:$E$151,2,FALSE),"")</f>
        <v/>
      </c>
      <c r="G113" s="4" t="str">
        <f>IFERROR(VLOOKUP(ROWS($F$2:F113),$C$2:$E$151,3,FALSE),"")</f>
        <v/>
      </c>
      <c r="I113" s="3">
        <f>IF(ISNUMBER(SEARCH(#REF!,J113)),MAX($I$1:I112)+1,0)</f>
        <v>0</v>
      </c>
      <c r="J113" s="3" t="e">
        <f>#REF!</f>
        <v>#REF!</v>
      </c>
      <c r="K113" s="3" t="e">
        <f>#REF!</f>
        <v>#REF!</v>
      </c>
      <c r="L113" s="4" t="str">
        <f>IFERROR(VLOOKUP(ROWS($L$2:L113),$I$2:$K$151,2,FALSE),"")</f>
        <v/>
      </c>
      <c r="M113" s="4" t="str">
        <f>IFERROR(VLOOKUP(ROWS($L$2:L113),$I$2:$K$151,3,FALSE),"")</f>
        <v/>
      </c>
      <c r="O113" s="3">
        <f>IF(ISNUMBER(SEARCH(#REF!,P113)),MAX($O$1:O112)+1,0)</f>
        <v>0</v>
      </c>
      <c r="P113" s="3" t="e">
        <f>#REF!</f>
        <v>#REF!</v>
      </c>
      <c r="Q113" s="3" t="e">
        <f>#REF!</f>
        <v>#REF!</v>
      </c>
      <c r="R113" s="4" t="str">
        <f>IFERROR(VLOOKUP(ROWS($R$2:R113),$O$2:$Q$151,2,FALSE),"")</f>
        <v/>
      </c>
      <c r="S113" s="4" t="str">
        <f>IFERROR(VLOOKUP(ROWS($R$2:R113),$O$2:$Q$151,3,FALSE),"")</f>
        <v/>
      </c>
      <c r="U113" s="5">
        <f>IF(ISNUMBER(SEARCH(#REF!,V113)),MAX($U$1:U112)+1,0)</f>
        <v>0</v>
      </c>
      <c r="V113" s="5" t="e">
        <f>#REF!</f>
        <v>#REF!</v>
      </c>
      <c r="W113" s="5" t="e">
        <f>#REF!</f>
        <v>#REF!</v>
      </c>
      <c r="X113" s="6" t="str">
        <f>IFERROR(VLOOKUP(ROWS($X$2:X113),$U$2:$W$151,2,FALSE),"")</f>
        <v/>
      </c>
      <c r="Y113" s="6" t="str">
        <f>IFERROR(VLOOKUP(ROWS($X$2:X113),$U$2:$W$151,3,FALSE),"")</f>
        <v/>
      </c>
      <c r="AA113" s="5">
        <f>IF(ISNUMBER(SEARCH(#REF!,AB113)),MAX($AA$1:AA112)+1,0)</f>
        <v>0</v>
      </c>
      <c r="AB113" s="5" t="e">
        <f>#REF!</f>
        <v>#REF!</v>
      </c>
      <c r="AC113" s="5" t="e">
        <f>#REF!</f>
        <v>#REF!</v>
      </c>
      <c r="AD113" s="6" t="str">
        <f>IFERROR(VLOOKUP(ROWS($AD$2:AD113),$AA$2:$AC$151,2,FALSE),"")</f>
        <v/>
      </c>
      <c r="AE113" s="6" t="str">
        <f>IFERROR(VLOOKUP(ROWS($AD$2:AD113),$AA$2:$AC$151,3,FALSE),"")</f>
        <v/>
      </c>
      <c r="AG113" s="7">
        <f>IF(ISNUMBER(SEARCH(#REF!,AH113)),MAX($AG$1:AG112)+1,0)</f>
        <v>0</v>
      </c>
      <c r="AH113" s="7" t="e">
        <f>#REF!</f>
        <v>#REF!</v>
      </c>
      <c r="AI113" s="7" t="e">
        <f>#REF!</f>
        <v>#REF!</v>
      </c>
      <c r="AJ113" s="8" t="str">
        <f>IFERROR(VLOOKUP(ROWS(AJ$2:AJ113),$AG$2:$AI$151,2,FALSE),"")</f>
        <v/>
      </c>
      <c r="AK113" s="8" t="str">
        <f>IFERROR(VLOOKUP(ROWS($AJ$2:AJ113),$AG$2:$AI$151,3,FALSE),"")</f>
        <v/>
      </c>
      <c r="AM113" s="7">
        <f>IF(ISNUMBER(SEARCH(#REF!,AN113)),MAX($AM$1:AM112)+1,0)</f>
        <v>0</v>
      </c>
      <c r="AN113" s="7" t="e">
        <f>#REF!</f>
        <v>#REF!</v>
      </c>
      <c r="AO113" s="7" t="e">
        <f>#REF!</f>
        <v>#REF!</v>
      </c>
      <c r="AP113" s="8" t="str">
        <f>IFERROR(VLOOKUP(ROWS($AP$2:AP113),$AM$2:$AO$151,2,FALSE),"")</f>
        <v/>
      </c>
      <c r="AQ113" s="8" t="str">
        <f>IFERROR(VLOOKUP(ROWS($AP$2:AP113),$AM$2:$AO$151,3,FALSE),"")</f>
        <v/>
      </c>
      <c r="AS113" s="9">
        <f>IF(ISNUMBER(SEARCH(#REF!,AT113)),MAX($AS$1:AS112)+1,0)</f>
        <v>0</v>
      </c>
      <c r="AT113" s="9" t="e">
        <f>#REF!</f>
        <v>#REF!</v>
      </c>
      <c r="AU113" s="9" t="e">
        <f>#REF!</f>
        <v>#REF!</v>
      </c>
      <c r="AV113" s="10" t="str">
        <f>IFERROR(VLOOKUP(ROWS(AV$2:AV113),$AS$2:$AU$151,2,FALSE),"")</f>
        <v/>
      </c>
      <c r="AW113" s="10" t="str">
        <f>IFERROR(VLOOKUP(ROWS($AV$2:AV113),$AS$2:$AU$151,3,FALSE),"")</f>
        <v/>
      </c>
      <c r="AY113" s="9">
        <f>IF(ISNUMBER(SEARCH(#REF!,AZ113)),MAX($AY$1:AY112)+1,0)</f>
        <v>0</v>
      </c>
      <c r="AZ113" s="9" t="e">
        <f>#REF!</f>
        <v>#REF!</v>
      </c>
      <c r="BA113" s="9" t="e">
        <f>#REF!</f>
        <v>#REF!</v>
      </c>
      <c r="BB113" s="10" t="str">
        <f>IFERROR(VLOOKUP(ROWS($BB$2:BB113),$AY$2:$BA$151,2,FALSE),"")</f>
        <v/>
      </c>
      <c r="BC113" s="10" t="str">
        <f>IFERROR(VLOOKUP(ROWS($BB$2:BB113),$AY$2:$BA$151,3,FALSE),"")</f>
        <v/>
      </c>
    </row>
    <row r="114" spans="3:55" x14ac:dyDescent="0.25">
      <c r="C114" s="3">
        <f>IF(ISNUMBER(SEARCH(#REF!,D114)),MAX($C$1:C113)+1,0)</f>
        <v>0</v>
      </c>
      <c r="D114" s="3" t="e">
        <f>#REF!</f>
        <v>#REF!</v>
      </c>
      <c r="E114" s="3" t="e">
        <f>#REF!</f>
        <v>#REF!</v>
      </c>
      <c r="F114" s="4" t="str">
        <f>IFERROR(VLOOKUP(ROWS($F$2:F114),$C$2:$E$151,2,FALSE),"")</f>
        <v/>
      </c>
      <c r="G114" s="4" t="str">
        <f>IFERROR(VLOOKUP(ROWS($F$2:F114),$C$2:$E$151,3,FALSE),"")</f>
        <v/>
      </c>
      <c r="I114" s="3">
        <f>IF(ISNUMBER(SEARCH(#REF!,J114)),MAX($I$1:I113)+1,0)</f>
        <v>0</v>
      </c>
      <c r="J114" s="3" t="e">
        <f>#REF!</f>
        <v>#REF!</v>
      </c>
      <c r="K114" s="3" t="e">
        <f>#REF!</f>
        <v>#REF!</v>
      </c>
      <c r="L114" s="4" t="str">
        <f>IFERROR(VLOOKUP(ROWS($L$2:L114),$I$2:$K$151,2,FALSE),"")</f>
        <v/>
      </c>
      <c r="M114" s="4" t="str">
        <f>IFERROR(VLOOKUP(ROWS($L$2:L114),$I$2:$K$151,3,FALSE),"")</f>
        <v/>
      </c>
      <c r="O114" s="3">
        <f>IF(ISNUMBER(SEARCH(#REF!,P114)),MAX($O$1:O113)+1,0)</f>
        <v>0</v>
      </c>
      <c r="P114" s="3" t="e">
        <f>#REF!</f>
        <v>#REF!</v>
      </c>
      <c r="Q114" s="3" t="e">
        <f>#REF!</f>
        <v>#REF!</v>
      </c>
      <c r="R114" s="4" t="str">
        <f>IFERROR(VLOOKUP(ROWS($R$2:R114),$O$2:$Q$151,2,FALSE),"")</f>
        <v/>
      </c>
      <c r="S114" s="4" t="str">
        <f>IFERROR(VLOOKUP(ROWS($R$2:R114),$O$2:$Q$151,3,FALSE),"")</f>
        <v/>
      </c>
      <c r="U114" s="5">
        <f>IF(ISNUMBER(SEARCH(#REF!,V114)),MAX($U$1:U113)+1,0)</f>
        <v>0</v>
      </c>
      <c r="V114" s="5" t="e">
        <f>#REF!</f>
        <v>#REF!</v>
      </c>
      <c r="W114" s="5" t="e">
        <f>#REF!</f>
        <v>#REF!</v>
      </c>
      <c r="X114" s="6" t="str">
        <f>IFERROR(VLOOKUP(ROWS($X$2:X114),$U$2:$W$151,2,FALSE),"")</f>
        <v/>
      </c>
      <c r="Y114" s="6" t="str">
        <f>IFERROR(VLOOKUP(ROWS($X$2:X114),$U$2:$W$151,3,FALSE),"")</f>
        <v/>
      </c>
      <c r="AA114" s="5">
        <f>IF(ISNUMBER(SEARCH(#REF!,AB114)),MAX($AA$1:AA113)+1,0)</f>
        <v>0</v>
      </c>
      <c r="AB114" s="5" t="e">
        <f>#REF!</f>
        <v>#REF!</v>
      </c>
      <c r="AC114" s="5" t="e">
        <f>#REF!</f>
        <v>#REF!</v>
      </c>
      <c r="AD114" s="6" t="str">
        <f>IFERROR(VLOOKUP(ROWS($AD$2:AD114),$AA$2:$AC$151,2,FALSE),"")</f>
        <v/>
      </c>
      <c r="AE114" s="6" t="str">
        <f>IFERROR(VLOOKUP(ROWS($AD$2:AD114),$AA$2:$AC$151,3,FALSE),"")</f>
        <v/>
      </c>
      <c r="AG114" s="7">
        <f>IF(ISNUMBER(SEARCH(#REF!,AH114)),MAX($AG$1:AG113)+1,0)</f>
        <v>0</v>
      </c>
      <c r="AH114" s="7" t="e">
        <f>#REF!</f>
        <v>#REF!</v>
      </c>
      <c r="AI114" s="7" t="e">
        <f>#REF!</f>
        <v>#REF!</v>
      </c>
      <c r="AJ114" s="8" t="str">
        <f>IFERROR(VLOOKUP(ROWS(AJ$2:AJ114),$AG$2:$AI$151,2,FALSE),"")</f>
        <v/>
      </c>
      <c r="AK114" s="8" t="str">
        <f>IFERROR(VLOOKUP(ROWS($AJ$2:AJ114),$AG$2:$AI$151,3,FALSE),"")</f>
        <v/>
      </c>
      <c r="AM114" s="7">
        <f>IF(ISNUMBER(SEARCH(#REF!,AN114)),MAX($AM$1:AM113)+1,0)</f>
        <v>0</v>
      </c>
      <c r="AN114" s="7" t="e">
        <f>#REF!</f>
        <v>#REF!</v>
      </c>
      <c r="AO114" s="7" t="e">
        <f>#REF!</f>
        <v>#REF!</v>
      </c>
      <c r="AP114" s="8" t="str">
        <f>IFERROR(VLOOKUP(ROWS($AP$2:AP114),$AM$2:$AO$151,2,FALSE),"")</f>
        <v/>
      </c>
      <c r="AQ114" s="8" t="str">
        <f>IFERROR(VLOOKUP(ROWS($AP$2:AP114),$AM$2:$AO$151,3,FALSE),"")</f>
        <v/>
      </c>
      <c r="AS114" s="9">
        <f>IF(ISNUMBER(SEARCH(#REF!,AT114)),MAX($AS$1:AS113)+1,0)</f>
        <v>0</v>
      </c>
      <c r="AT114" s="9" t="e">
        <f>#REF!</f>
        <v>#REF!</v>
      </c>
      <c r="AU114" s="9" t="e">
        <f>#REF!</f>
        <v>#REF!</v>
      </c>
      <c r="AV114" s="10" t="str">
        <f>IFERROR(VLOOKUP(ROWS(AV$2:AV114),$AS$2:$AU$151,2,FALSE),"")</f>
        <v/>
      </c>
      <c r="AW114" s="10" t="str">
        <f>IFERROR(VLOOKUP(ROWS($AV$2:AV114),$AS$2:$AU$151,3,FALSE),"")</f>
        <v/>
      </c>
      <c r="AY114" s="9">
        <f>IF(ISNUMBER(SEARCH(#REF!,AZ114)),MAX($AY$1:AY113)+1,0)</f>
        <v>0</v>
      </c>
      <c r="AZ114" s="9" t="e">
        <f>#REF!</f>
        <v>#REF!</v>
      </c>
      <c r="BA114" s="9" t="e">
        <f>#REF!</f>
        <v>#REF!</v>
      </c>
      <c r="BB114" s="10" t="str">
        <f>IFERROR(VLOOKUP(ROWS($BB$2:BB114),$AY$2:$BA$151,2,FALSE),"")</f>
        <v/>
      </c>
      <c r="BC114" s="10" t="str">
        <f>IFERROR(VLOOKUP(ROWS($BB$2:BB114),$AY$2:$BA$151,3,FALSE),"")</f>
        <v/>
      </c>
    </row>
    <row r="115" spans="3:55" x14ac:dyDescent="0.25">
      <c r="C115" s="3">
        <f>IF(ISNUMBER(SEARCH(#REF!,D115)),MAX($C$1:C114)+1,0)</f>
        <v>0</v>
      </c>
      <c r="D115" s="3" t="e">
        <f>#REF!</f>
        <v>#REF!</v>
      </c>
      <c r="E115" s="3" t="e">
        <f>#REF!</f>
        <v>#REF!</v>
      </c>
      <c r="F115" s="4" t="str">
        <f>IFERROR(VLOOKUP(ROWS($F$2:F115),$C$2:$E$151,2,FALSE),"")</f>
        <v/>
      </c>
      <c r="G115" s="4" t="str">
        <f>IFERROR(VLOOKUP(ROWS($F$2:F115),$C$2:$E$151,3,FALSE),"")</f>
        <v/>
      </c>
      <c r="I115" s="3">
        <f>IF(ISNUMBER(SEARCH(#REF!,J115)),MAX($I$1:I114)+1,0)</f>
        <v>0</v>
      </c>
      <c r="J115" s="3" t="e">
        <f>#REF!</f>
        <v>#REF!</v>
      </c>
      <c r="K115" s="3" t="e">
        <f>#REF!</f>
        <v>#REF!</v>
      </c>
      <c r="L115" s="4" t="str">
        <f>IFERROR(VLOOKUP(ROWS($L$2:L115),$I$2:$K$151,2,FALSE),"")</f>
        <v/>
      </c>
      <c r="M115" s="4" t="str">
        <f>IFERROR(VLOOKUP(ROWS($L$2:L115),$I$2:$K$151,3,FALSE),"")</f>
        <v/>
      </c>
      <c r="O115" s="3">
        <f>IF(ISNUMBER(SEARCH(#REF!,P115)),MAX($O$1:O114)+1,0)</f>
        <v>0</v>
      </c>
      <c r="P115" s="3" t="e">
        <f>#REF!</f>
        <v>#REF!</v>
      </c>
      <c r="Q115" s="3" t="e">
        <f>#REF!</f>
        <v>#REF!</v>
      </c>
      <c r="R115" s="4" t="str">
        <f>IFERROR(VLOOKUP(ROWS($R$2:R115),$O$2:$Q$151,2,FALSE),"")</f>
        <v/>
      </c>
      <c r="S115" s="4" t="str">
        <f>IFERROR(VLOOKUP(ROWS($R$2:R115),$O$2:$Q$151,3,FALSE),"")</f>
        <v/>
      </c>
      <c r="U115" s="5">
        <f>IF(ISNUMBER(SEARCH(#REF!,V115)),MAX($U$1:U114)+1,0)</f>
        <v>0</v>
      </c>
      <c r="V115" s="5" t="e">
        <f>#REF!</f>
        <v>#REF!</v>
      </c>
      <c r="W115" s="5" t="e">
        <f>#REF!</f>
        <v>#REF!</v>
      </c>
      <c r="X115" s="6" t="str">
        <f>IFERROR(VLOOKUP(ROWS($X$2:X115),$U$2:$W$151,2,FALSE),"")</f>
        <v/>
      </c>
      <c r="Y115" s="6" t="str">
        <f>IFERROR(VLOOKUP(ROWS($X$2:X115),$U$2:$W$151,3,FALSE),"")</f>
        <v/>
      </c>
      <c r="AA115" s="5">
        <f>IF(ISNUMBER(SEARCH(#REF!,AB115)),MAX($AA$1:AA114)+1,0)</f>
        <v>0</v>
      </c>
      <c r="AB115" s="5" t="e">
        <f>#REF!</f>
        <v>#REF!</v>
      </c>
      <c r="AC115" s="5" t="e">
        <f>#REF!</f>
        <v>#REF!</v>
      </c>
      <c r="AD115" s="6" t="str">
        <f>IFERROR(VLOOKUP(ROWS($AD$2:AD115),$AA$2:$AC$151,2,FALSE),"")</f>
        <v/>
      </c>
      <c r="AE115" s="6" t="str">
        <f>IFERROR(VLOOKUP(ROWS($AD$2:AD115),$AA$2:$AC$151,3,FALSE),"")</f>
        <v/>
      </c>
      <c r="AG115" s="7">
        <f>IF(ISNUMBER(SEARCH(#REF!,AH115)),MAX($AG$1:AG114)+1,0)</f>
        <v>0</v>
      </c>
      <c r="AH115" s="7" t="e">
        <f>#REF!</f>
        <v>#REF!</v>
      </c>
      <c r="AI115" s="7" t="e">
        <f>#REF!</f>
        <v>#REF!</v>
      </c>
      <c r="AJ115" s="8" t="str">
        <f>IFERROR(VLOOKUP(ROWS(AJ$2:AJ115),$AG$2:$AI$151,2,FALSE),"")</f>
        <v/>
      </c>
      <c r="AK115" s="8" t="str">
        <f>IFERROR(VLOOKUP(ROWS($AJ$2:AJ115),$AG$2:$AI$151,3,FALSE),"")</f>
        <v/>
      </c>
      <c r="AM115" s="7">
        <f>IF(ISNUMBER(SEARCH(#REF!,AN115)),MAX($AM$1:AM114)+1,0)</f>
        <v>0</v>
      </c>
      <c r="AN115" s="7" t="e">
        <f>#REF!</f>
        <v>#REF!</v>
      </c>
      <c r="AO115" s="7" t="e">
        <f>#REF!</f>
        <v>#REF!</v>
      </c>
      <c r="AP115" s="8" t="str">
        <f>IFERROR(VLOOKUP(ROWS($AP$2:AP115),$AM$2:$AO$151,2,FALSE),"")</f>
        <v/>
      </c>
      <c r="AQ115" s="8" t="str">
        <f>IFERROR(VLOOKUP(ROWS($AP$2:AP115),$AM$2:$AO$151,3,FALSE),"")</f>
        <v/>
      </c>
      <c r="AS115" s="9">
        <f>IF(ISNUMBER(SEARCH(#REF!,AT115)),MAX($AS$1:AS114)+1,0)</f>
        <v>0</v>
      </c>
      <c r="AT115" s="9" t="e">
        <f>#REF!</f>
        <v>#REF!</v>
      </c>
      <c r="AU115" s="9" t="e">
        <f>#REF!</f>
        <v>#REF!</v>
      </c>
      <c r="AV115" s="10" t="str">
        <f>IFERROR(VLOOKUP(ROWS(AV$2:AV115),$AS$2:$AU$151,2,FALSE),"")</f>
        <v/>
      </c>
      <c r="AW115" s="10" t="str">
        <f>IFERROR(VLOOKUP(ROWS($AV$2:AV115),$AS$2:$AU$151,3,FALSE),"")</f>
        <v/>
      </c>
      <c r="AY115" s="9">
        <f>IF(ISNUMBER(SEARCH(#REF!,AZ115)),MAX($AY$1:AY114)+1,0)</f>
        <v>0</v>
      </c>
      <c r="AZ115" s="9" t="e">
        <f>#REF!</f>
        <v>#REF!</v>
      </c>
      <c r="BA115" s="9" t="e">
        <f>#REF!</f>
        <v>#REF!</v>
      </c>
      <c r="BB115" s="10" t="str">
        <f>IFERROR(VLOOKUP(ROWS($BB$2:BB115),$AY$2:$BA$151,2,FALSE),"")</f>
        <v/>
      </c>
      <c r="BC115" s="10" t="str">
        <f>IFERROR(VLOOKUP(ROWS($BB$2:BB115),$AY$2:$BA$151,3,FALSE),"")</f>
        <v/>
      </c>
    </row>
    <row r="116" spans="3:55" x14ac:dyDescent="0.25">
      <c r="C116" s="3">
        <f>IF(ISNUMBER(SEARCH(#REF!,D116)),MAX($C$1:C115)+1,0)</f>
        <v>0</v>
      </c>
      <c r="D116" s="3" t="e">
        <f>#REF!</f>
        <v>#REF!</v>
      </c>
      <c r="E116" s="3" t="e">
        <f>#REF!</f>
        <v>#REF!</v>
      </c>
      <c r="F116" s="4" t="str">
        <f>IFERROR(VLOOKUP(ROWS($F$2:F116),$C$2:$E$151,2,FALSE),"")</f>
        <v/>
      </c>
      <c r="G116" s="4" t="str">
        <f>IFERROR(VLOOKUP(ROWS($F$2:F116),$C$2:$E$151,3,FALSE),"")</f>
        <v/>
      </c>
      <c r="I116" s="3">
        <f>IF(ISNUMBER(SEARCH(#REF!,J116)),MAX($I$1:I115)+1,0)</f>
        <v>0</v>
      </c>
      <c r="J116" s="3" t="e">
        <f>#REF!</f>
        <v>#REF!</v>
      </c>
      <c r="K116" s="3" t="e">
        <f>#REF!</f>
        <v>#REF!</v>
      </c>
      <c r="L116" s="4" t="str">
        <f>IFERROR(VLOOKUP(ROWS($L$2:L116),$I$2:$K$151,2,FALSE),"")</f>
        <v/>
      </c>
      <c r="M116" s="4" t="str">
        <f>IFERROR(VLOOKUP(ROWS($L$2:L116),$I$2:$K$151,3,FALSE),"")</f>
        <v/>
      </c>
      <c r="O116" s="3">
        <f>IF(ISNUMBER(SEARCH(#REF!,P116)),MAX($O$1:O115)+1,0)</f>
        <v>0</v>
      </c>
      <c r="P116" s="3" t="e">
        <f>#REF!</f>
        <v>#REF!</v>
      </c>
      <c r="Q116" s="3" t="e">
        <f>#REF!</f>
        <v>#REF!</v>
      </c>
      <c r="R116" s="4" t="str">
        <f>IFERROR(VLOOKUP(ROWS($R$2:R116),$O$2:$Q$151,2,FALSE),"")</f>
        <v/>
      </c>
      <c r="S116" s="4" t="str">
        <f>IFERROR(VLOOKUP(ROWS($R$2:R116),$O$2:$Q$151,3,FALSE),"")</f>
        <v/>
      </c>
      <c r="U116" s="5">
        <f>IF(ISNUMBER(SEARCH(#REF!,V116)),MAX($U$1:U115)+1,0)</f>
        <v>0</v>
      </c>
      <c r="V116" s="5" t="e">
        <f>#REF!</f>
        <v>#REF!</v>
      </c>
      <c r="W116" s="5" t="e">
        <f>#REF!</f>
        <v>#REF!</v>
      </c>
      <c r="X116" s="6" t="str">
        <f>IFERROR(VLOOKUP(ROWS($X$2:X116),$U$2:$W$151,2,FALSE),"")</f>
        <v/>
      </c>
      <c r="Y116" s="6" t="str">
        <f>IFERROR(VLOOKUP(ROWS($X$2:X116),$U$2:$W$151,3,FALSE),"")</f>
        <v/>
      </c>
      <c r="AA116" s="5">
        <f>IF(ISNUMBER(SEARCH(#REF!,AB116)),MAX($AA$1:AA115)+1,0)</f>
        <v>0</v>
      </c>
      <c r="AB116" s="5" t="e">
        <f>#REF!</f>
        <v>#REF!</v>
      </c>
      <c r="AC116" s="5" t="e">
        <f>#REF!</f>
        <v>#REF!</v>
      </c>
      <c r="AD116" s="6" t="str">
        <f>IFERROR(VLOOKUP(ROWS($AD$2:AD116),$AA$2:$AC$151,2,FALSE),"")</f>
        <v/>
      </c>
      <c r="AE116" s="6" t="str">
        <f>IFERROR(VLOOKUP(ROWS($AD$2:AD116),$AA$2:$AC$151,3,FALSE),"")</f>
        <v/>
      </c>
      <c r="AG116" s="7">
        <f>IF(ISNUMBER(SEARCH(#REF!,AH116)),MAX($AG$1:AG115)+1,0)</f>
        <v>0</v>
      </c>
      <c r="AH116" s="7" t="e">
        <f>#REF!</f>
        <v>#REF!</v>
      </c>
      <c r="AI116" s="7" t="e">
        <f>#REF!</f>
        <v>#REF!</v>
      </c>
      <c r="AJ116" s="8" t="str">
        <f>IFERROR(VLOOKUP(ROWS(AJ$2:AJ116),$AG$2:$AI$151,2,FALSE),"")</f>
        <v/>
      </c>
      <c r="AK116" s="8" t="str">
        <f>IFERROR(VLOOKUP(ROWS($AJ$2:AJ116),$AG$2:$AI$151,3,FALSE),"")</f>
        <v/>
      </c>
      <c r="AM116" s="7">
        <f>IF(ISNUMBER(SEARCH(#REF!,AN116)),MAX($AM$1:AM115)+1,0)</f>
        <v>0</v>
      </c>
      <c r="AN116" s="7" t="e">
        <f>#REF!</f>
        <v>#REF!</v>
      </c>
      <c r="AO116" s="7" t="e">
        <f>#REF!</f>
        <v>#REF!</v>
      </c>
      <c r="AP116" s="8" t="str">
        <f>IFERROR(VLOOKUP(ROWS($AP$2:AP116),$AM$2:$AO$151,2,FALSE),"")</f>
        <v/>
      </c>
      <c r="AQ116" s="8" t="str">
        <f>IFERROR(VLOOKUP(ROWS($AP$2:AP116),$AM$2:$AO$151,3,FALSE),"")</f>
        <v/>
      </c>
      <c r="AS116" s="9">
        <f>IF(ISNUMBER(SEARCH(#REF!,AT116)),MAX($AS$1:AS115)+1,0)</f>
        <v>0</v>
      </c>
      <c r="AT116" s="9" t="e">
        <f>#REF!</f>
        <v>#REF!</v>
      </c>
      <c r="AU116" s="9" t="e">
        <f>#REF!</f>
        <v>#REF!</v>
      </c>
      <c r="AV116" s="10" t="str">
        <f>IFERROR(VLOOKUP(ROWS(AV$2:AV116),$AS$2:$AU$151,2,FALSE),"")</f>
        <v/>
      </c>
      <c r="AW116" s="10" t="str">
        <f>IFERROR(VLOOKUP(ROWS($AV$2:AV116),$AS$2:$AU$151,3,FALSE),"")</f>
        <v/>
      </c>
      <c r="AY116" s="9">
        <f>IF(ISNUMBER(SEARCH(#REF!,AZ116)),MAX($AY$1:AY115)+1,0)</f>
        <v>0</v>
      </c>
      <c r="AZ116" s="9" t="e">
        <f>#REF!</f>
        <v>#REF!</v>
      </c>
      <c r="BA116" s="9" t="e">
        <f>#REF!</f>
        <v>#REF!</v>
      </c>
      <c r="BB116" s="10" t="str">
        <f>IFERROR(VLOOKUP(ROWS($BB$2:BB116),$AY$2:$BA$151,2,FALSE),"")</f>
        <v/>
      </c>
      <c r="BC116" s="10" t="str">
        <f>IFERROR(VLOOKUP(ROWS($BB$2:BB116),$AY$2:$BA$151,3,FALSE),"")</f>
        <v/>
      </c>
    </row>
    <row r="117" spans="3:55" x14ac:dyDescent="0.25">
      <c r="C117" s="3">
        <f>IF(ISNUMBER(SEARCH(#REF!,D117)),MAX($C$1:C116)+1,0)</f>
        <v>0</v>
      </c>
      <c r="D117" s="3" t="e">
        <f>#REF!</f>
        <v>#REF!</v>
      </c>
      <c r="E117" s="3" t="e">
        <f>#REF!</f>
        <v>#REF!</v>
      </c>
      <c r="F117" s="4" t="str">
        <f>IFERROR(VLOOKUP(ROWS($F$2:F117),$C$2:$E$151,2,FALSE),"")</f>
        <v/>
      </c>
      <c r="G117" s="4" t="str">
        <f>IFERROR(VLOOKUP(ROWS($F$2:F117),$C$2:$E$151,3,FALSE),"")</f>
        <v/>
      </c>
      <c r="I117" s="3">
        <f>IF(ISNUMBER(SEARCH(#REF!,J117)),MAX($I$1:I116)+1,0)</f>
        <v>0</v>
      </c>
      <c r="J117" s="3" t="e">
        <f>#REF!</f>
        <v>#REF!</v>
      </c>
      <c r="K117" s="3" t="e">
        <f>#REF!</f>
        <v>#REF!</v>
      </c>
      <c r="L117" s="4" t="str">
        <f>IFERROR(VLOOKUP(ROWS($L$2:L117),$I$2:$K$151,2,FALSE),"")</f>
        <v/>
      </c>
      <c r="M117" s="4" t="str">
        <f>IFERROR(VLOOKUP(ROWS($L$2:L117),$I$2:$K$151,3,FALSE),"")</f>
        <v/>
      </c>
      <c r="O117" s="3">
        <f>IF(ISNUMBER(SEARCH(#REF!,P117)),MAX($O$1:O116)+1,0)</f>
        <v>0</v>
      </c>
      <c r="P117" s="3" t="e">
        <f>#REF!</f>
        <v>#REF!</v>
      </c>
      <c r="Q117" s="3" t="e">
        <f>#REF!</f>
        <v>#REF!</v>
      </c>
      <c r="R117" s="4" t="str">
        <f>IFERROR(VLOOKUP(ROWS($R$2:R117),$O$2:$Q$151,2,FALSE),"")</f>
        <v/>
      </c>
      <c r="S117" s="4" t="str">
        <f>IFERROR(VLOOKUP(ROWS($R$2:R117),$O$2:$Q$151,3,FALSE),"")</f>
        <v/>
      </c>
      <c r="U117" s="5">
        <f>IF(ISNUMBER(SEARCH(#REF!,V117)),MAX($U$1:U116)+1,0)</f>
        <v>0</v>
      </c>
      <c r="V117" s="5" t="e">
        <f>#REF!</f>
        <v>#REF!</v>
      </c>
      <c r="W117" s="5" t="e">
        <f>#REF!</f>
        <v>#REF!</v>
      </c>
      <c r="X117" s="6" t="str">
        <f>IFERROR(VLOOKUP(ROWS($X$2:X117),$U$2:$W$151,2,FALSE),"")</f>
        <v/>
      </c>
      <c r="Y117" s="6" t="str">
        <f>IFERROR(VLOOKUP(ROWS($X$2:X117),$U$2:$W$151,3,FALSE),"")</f>
        <v/>
      </c>
      <c r="AA117" s="5">
        <f>IF(ISNUMBER(SEARCH(#REF!,AB117)),MAX($AA$1:AA116)+1,0)</f>
        <v>0</v>
      </c>
      <c r="AB117" s="5" t="e">
        <f>#REF!</f>
        <v>#REF!</v>
      </c>
      <c r="AC117" s="5" t="e">
        <f>#REF!</f>
        <v>#REF!</v>
      </c>
      <c r="AD117" s="6" t="str">
        <f>IFERROR(VLOOKUP(ROWS($AD$2:AD117),$AA$2:$AC$151,2,FALSE),"")</f>
        <v/>
      </c>
      <c r="AE117" s="6" t="str">
        <f>IFERROR(VLOOKUP(ROWS($AD$2:AD117),$AA$2:$AC$151,3,FALSE),"")</f>
        <v/>
      </c>
      <c r="AG117" s="7">
        <f>IF(ISNUMBER(SEARCH(#REF!,AH117)),MAX($AG$1:AG116)+1,0)</f>
        <v>0</v>
      </c>
      <c r="AH117" s="7" t="e">
        <f>#REF!</f>
        <v>#REF!</v>
      </c>
      <c r="AI117" s="7" t="e">
        <f>#REF!</f>
        <v>#REF!</v>
      </c>
      <c r="AJ117" s="8" t="str">
        <f>IFERROR(VLOOKUP(ROWS(AJ$2:AJ117),$AG$2:$AI$151,2,FALSE),"")</f>
        <v/>
      </c>
      <c r="AK117" s="8" t="str">
        <f>IFERROR(VLOOKUP(ROWS($AJ$2:AJ117),$AG$2:$AI$151,3,FALSE),"")</f>
        <v/>
      </c>
      <c r="AM117" s="7">
        <f>IF(ISNUMBER(SEARCH(#REF!,AN117)),MAX($AM$1:AM116)+1,0)</f>
        <v>0</v>
      </c>
      <c r="AN117" s="7" t="e">
        <f>#REF!</f>
        <v>#REF!</v>
      </c>
      <c r="AO117" s="7" t="e">
        <f>#REF!</f>
        <v>#REF!</v>
      </c>
      <c r="AP117" s="8" t="str">
        <f>IFERROR(VLOOKUP(ROWS($AP$2:AP117),$AM$2:$AO$151,2,FALSE),"")</f>
        <v/>
      </c>
      <c r="AQ117" s="8" t="str">
        <f>IFERROR(VLOOKUP(ROWS($AP$2:AP117),$AM$2:$AO$151,3,FALSE),"")</f>
        <v/>
      </c>
      <c r="AS117" s="9">
        <f>IF(ISNUMBER(SEARCH(#REF!,AT117)),MAX($AS$1:AS116)+1,0)</f>
        <v>0</v>
      </c>
      <c r="AT117" s="9" t="e">
        <f>#REF!</f>
        <v>#REF!</v>
      </c>
      <c r="AU117" s="9" t="e">
        <f>#REF!</f>
        <v>#REF!</v>
      </c>
      <c r="AV117" s="10" t="str">
        <f>IFERROR(VLOOKUP(ROWS(AV$2:AV117),$AS$2:$AU$151,2,FALSE),"")</f>
        <v/>
      </c>
      <c r="AW117" s="10" t="str">
        <f>IFERROR(VLOOKUP(ROWS($AV$2:AV117),$AS$2:$AU$151,3,FALSE),"")</f>
        <v/>
      </c>
      <c r="AY117" s="9">
        <f>IF(ISNUMBER(SEARCH(#REF!,AZ117)),MAX($AY$1:AY116)+1,0)</f>
        <v>0</v>
      </c>
      <c r="AZ117" s="9" t="e">
        <f>#REF!</f>
        <v>#REF!</v>
      </c>
      <c r="BA117" s="9" t="e">
        <f>#REF!</f>
        <v>#REF!</v>
      </c>
      <c r="BB117" s="10" t="str">
        <f>IFERROR(VLOOKUP(ROWS($BB$2:BB117),$AY$2:$BA$151,2,FALSE),"")</f>
        <v/>
      </c>
      <c r="BC117" s="10" t="str">
        <f>IFERROR(VLOOKUP(ROWS($BB$2:BB117),$AY$2:$BA$151,3,FALSE),"")</f>
        <v/>
      </c>
    </row>
    <row r="118" spans="3:55" x14ac:dyDescent="0.25">
      <c r="C118" s="3">
        <f>IF(ISNUMBER(SEARCH(#REF!,D118)),MAX($C$1:C117)+1,0)</f>
        <v>0</v>
      </c>
      <c r="D118" s="3" t="e">
        <f>#REF!</f>
        <v>#REF!</v>
      </c>
      <c r="E118" s="3" t="e">
        <f>#REF!</f>
        <v>#REF!</v>
      </c>
      <c r="F118" s="4" t="str">
        <f>IFERROR(VLOOKUP(ROWS($F$2:F118),$C$2:$E$151,2,FALSE),"")</f>
        <v/>
      </c>
      <c r="G118" s="4" t="str">
        <f>IFERROR(VLOOKUP(ROWS($F$2:F118),$C$2:$E$151,3,FALSE),"")</f>
        <v/>
      </c>
      <c r="I118" s="3">
        <f>IF(ISNUMBER(SEARCH(#REF!,J118)),MAX($I$1:I117)+1,0)</f>
        <v>0</v>
      </c>
      <c r="J118" s="3" t="e">
        <f>#REF!</f>
        <v>#REF!</v>
      </c>
      <c r="K118" s="3" t="e">
        <f>#REF!</f>
        <v>#REF!</v>
      </c>
      <c r="L118" s="4" t="str">
        <f>IFERROR(VLOOKUP(ROWS($L$2:L118),$I$2:$K$151,2,FALSE),"")</f>
        <v/>
      </c>
      <c r="M118" s="4" t="str">
        <f>IFERROR(VLOOKUP(ROWS($L$2:L118),$I$2:$K$151,3,FALSE),"")</f>
        <v/>
      </c>
      <c r="O118" s="3">
        <f>IF(ISNUMBER(SEARCH(#REF!,P118)),MAX($O$1:O117)+1,0)</f>
        <v>0</v>
      </c>
      <c r="P118" s="3" t="e">
        <f>#REF!</f>
        <v>#REF!</v>
      </c>
      <c r="Q118" s="3" t="e">
        <f>#REF!</f>
        <v>#REF!</v>
      </c>
      <c r="R118" s="4" t="str">
        <f>IFERROR(VLOOKUP(ROWS($R$2:R118),$O$2:$Q$151,2,FALSE),"")</f>
        <v/>
      </c>
      <c r="S118" s="4" t="str">
        <f>IFERROR(VLOOKUP(ROWS($R$2:R118),$O$2:$Q$151,3,FALSE),"")</f>
        <v/>
      </c>
      <c r="U118" s="5">
        <f>IF(ISNUMBER(SEARCH(#REF!,V118)),MAX($U$1:U117)+1,0)</f>
        <v>0</v>
      </c>
      <c r="V118" s="5" t="e">
        <f>#REF!</f>
        <v>#REF!</v>
      </c>
      <c r="W118" s="5" t="e">
        <f>#REF!</f>
        <v>#REF!</v>
      </c>
      <c r="X118" s="6" t="str">
        <f>IFERROR(VLOOKUP(ROWS($X$2:X118),$U$2:$W$151,2,FALSE),"")</f>
        <v/>
      </c>
      <c r="Y118" s="6" t="str">
        <f>IFERROR(VLOOKUP(ROWS($X$2:X118),$U$2:$W$151,3,FALSE),"")</f>
        <v/>
      </c>
      <c r="AA118" s="5">
        <f>IF(ISNUMBER(SEARCH(#REF!,AB118)),MAX($AA$1:AA117)+1,0)</f>
        <v>0</v>
      </c>
      <c r="AB118" s="5" t="e">
        <f>#REF!</f>
        <v>#REF!</v>
      </c>
      <c r="AC118" s="5" t="e">
        <f>#REF!</f>
        <v>#REF!</v>
      </c>
      <c r="AD118" s="6" t="str">
        <f>IFERROR(VLOOKUP(ROWS($AD$2:AD118),$AA$2:$AC$151,2,FALSE),"")</f>
        <v/>
      </c>
      <c r="AE118" s="6" t="str">
        <f>IFERROR(VLOOKUP(ROWS($AD$2:AD118),$AA$2:$AC$151,3,FALSE),"")</f>
        <v/>
      </c>
      <c r="AG118" s="7">
        <f>IF(ISNUMBER(SEARCH(#REF!,AH118)),MAX($AG$1:AG117)+1,0)</f>
        <v>0</v>
      </c>
      <c r="AH118" s="7" t="e">
        <f>#REF!</f>
        <v>#REF!</v>
      </c>
      <c r="AI118" s="7" t="e">
        <f>#REF!</f>
        <v>#REF!</v>
      </c>
      <c r="AJ118" s="8" t="str">
        <f>IFERROR(VLOOKUP(ROWS(AJ$2:AJ118),$AG$2:$AI$151,2,FALSE),"")</f>
        <v/>
      </c>
      <c r="AK118" s="8" t="str">
        <f>IFERROR(VLOOKUP(ROWS($AJ$2:AJ118),$AG$2:$AI$151,3,FALSE),"")</f>
        <v/>
      </c>
      <c r="AM118" s="7">
        <f>IF(ISNUMBER(SEARCH(#REF!,AN118)),MAX($AM$1:AM117)+1,0)</f>
        <v>0</v>
      </c>
      <c r="AN118" s="7" t="e">
        <f>#REF!</f>
        <v>#REF!</v>
      </c>
      <c r="AO118" s="7" t="e">
        <f>#REF!</f>
        <v>#REF!</v>
      </c>
      <c r="AP118" s="8" t="str">
        <f>IFERROR(VLOOKUP(ROWS($AP$2:AP118),$AM$2:$AO$151,2,FALSE),"")</f>
        <v/>
      </c>
      <c r="AQ118" s="8" t="str">
        <f>IFERROR(VLOOKUP(ROWS($AP$2:AP118),$AM$2:$AO$151,3,FALSE),"")</f>
        <v/>
      </c>
      <c r="AS118" s="9">
        <f>IF(ISNUMBER(SEARCH(#REF!,AT118)),MAX($AS$1:AS117)+1,0)</f>
        <v>0</v>
      </c>
      <c r="AT118" s="9" t="e">
        <f>#REF!</f>
        <v>#REF!</v>
      </c>
      <c r="AU118" s="9" t="e">
        <f>#REF!</f>
        <v>#REF!</v>
      </c>
      <c r="AV118" s="10" t="str">
        <f>IFERROR(VLOOKUP(ROWS(AV$2:AV118),$AS$2:$AU$151,2,FALSE),"")</f>
        <v/>
      </c>
      <c r="AW118" s="10" t="str">
        <f>IFERROR(VLOOKUP(ROWS($AV$2:AV118),$AS$2:$AU$151,3,FALSE),"")</f>
        <v/>
      </c>
      <c r="AY118" s="9">
        <f>IF(ISNUMBER(SEARCH(#REF!,AZ118)),MAX($AY$1:AY117)+1,0)</f>
        <v>0</v>
      </c>
      <c r="AZ118" s="9" t="e">
        <f>#REF!</f>
        <v>#REF!</v>
      </c>
      <c r="BA118" s="9" t="e">
        <f>#REF!</f>
        <v>#REF!</v>
      </c>
      <c r="BB118" s="10" t="str">
        <f>IFERROR(VLOOKUP(ROWS($BB$2:BB118),$AY$2:$BA$151,2,FALSE),"")</f>
        <v/>
      </c>
      <c r="BC118" s="10" t="str">
        <f>IFERROR(VLOOKUP(ROWS($BB$2:BB118),$AY$2:$BA$151,3,FALSE),"")</f>
        <v/>
      </c>
    </row>
    <row r="119" spans="3:55" x14ac:dyDescent="0.25">
      <c r="C119" s="3">
        <f>IF(ISNUMBER(SEARCH(#REF!,D119)),MAX($C$1:C118)+1,0)</f>
        <v>0</v>
      </c>
      <c r="D119" s="3" t="e">
        <f>#REF!</f>
        <v>#REF!</v>
      </c>
      <c r="E119" s="3" t="e">
        <f>#REF!</f>
        <v>#REF!</v>
      </c>
      <c r="F119" s="4" t="str">
        <f>IFERROR(VLOOKUP(ROWS($F$2:F119),$C$2:$E$151,2,FALSE),"")</f>
        <v/>
      </c>
      <c r="G119" s="4" t="str">
        <f>IFERROR(VLOOKUP(ROWS($F$2:F119),$C$2:$E$151,3,FALSE),"")</f>
        <v/>
      </c>
      <c r="I119" s="3">
        <f>IF(ISNUMBER(SEARCH(#REF!,J119)),MAX($I$1:I118)+1,0)</f>
        <v>0</v>
      </c>
      <c r="J119" s="3" t="e">
        <f>#REF!</f>
        <v>#REF!</v>
      </c>
      <c r="K119" s="3" t="e">
        <f>#REF!</f>
        <v>#REF!</v>
      </c>
      <c r="L119" s="4" t="str">
        <f>IFERROR(VLOOKUP(ROWS($L$2:L119),$I$2:$K$151,2,FALSE),"")</f>
        <v/>
      </c>
      <c r="M119" s="4" t="str">
        <f>IFERROR(VLOOKUP(ROWS($L$2:L119),$I$2:$K$151,3,FALSE),"")</f>
        <v/>
      </c>
      <c r="O119" s="3">
        <f>IF(ISNUMBER(SEARCH(#REF!,P119)),MAX($O$1:O118)+1,0)</f>
        <v>0</v>
      </c>
      <c r="P119" s="3" t="e">
        <f>#REF!</f>
        <v>#REF!</v>
      </c>
      <c r="Q119" s="3" t="e">
        <f>#REF!</f>
        <v>#REF!</v>
      </c>
      <c r="R119" s="4" t="str">
        <f>IFERROR(VLOOKUP(ROWS($R$2:R119),$O$2:$Q$151,2,FALSE),"")</f>
        <v/>
      </c>
      <c r="S119" s="4" t="str">
        <f>IFERROR(VLOOKUP(ROWS($R$2:R119),$O$2:$Q$151,3,FALSE),"")</f>
        <v/>
      </c>
      <c r="U119" s="5">
        <f>IF(ISNUMBER(SEARCH(#REF!,V119)),MAX($U$1:U118)+1,0)</f>
        <v>0</v>
      </c>
      <c r="V119" s="5" t="e">
        <f>#REF!</f>
        <v>#REF!</v>
      </c>
      <c r="W119" s="5" t="e">
        <f>#REF!</f>
        <v>#REF!</v>
      </c>
      <c r="X119" s="6" t="str">
        <f>IFERROR(VLOOKUP(ROWS($X$2:X119),$U$2:$W$151,2,FALSE),"")</f>
        <v/>
      </c>
      <c r="Y119" s="6" t="str">
        <f>IFERROR(VLOOKUP(ROWS($X$2:X119),$U$2:$W$151,3,FALSE),"")</f>
        <v/>
      </c>
      <c r="AA119" s="5">
        <f>IF(ISNUMBER(SEARCH(#REF!,AB119)),MAX($AA$1:AA118)+1,0)</f>
        <v>0</v>
      </c>
      <c r="AB119" s="5" t="e">
        <f>#REF!</f>
        <v>#REF!</v>
      </c>
      <c r="AC119" s="5" t="e">
        <f>#REF!</f>
        <v>#REF!</v>
      </c>
      <c r="AD119" s="6" t="str">
        <f>IFERROR(VLOOKUP(ROWS($AD$2:AD119),$AA$2:$AC$151,2,FALSE),"")</f>
        <v/>
      </c>
      <c r="AE119" s="6" t="str">
        <f>IFERROR(VLOOKUP(ROWS($AD$2:AD119),$AA$2:$AC$151,3,FALSE),"")</f>
        <v/>
      </c>
      <c r="AG119" s="7">
        <f>IF(ISNUMBER(SEARCH(#REF!,AH119)),MAX($AG$1:AG118)+1,0)</f>
        <v>0</v>
      </c>
      <c r="AH119" s="7" t="e">
        <f>#REF!</f>
        <v>#REF!</v>
      </c>
      <c r="AI119" s="7" t="e">
        <f>#REF!</f>
        <v>#REF!</v>
      </c>
      <c r="AJ119" s="8" t="str">
        <f>IFERROR(VLOOKUP(ROWS(AJ$2:AJ119),$AG$2:$AI$151,2,FALSE),"")</f>
        <v/>
      </c>
      <c r="AK119" s="8" t="str">
        <f>IFERROR(VLOOKUP(ROWS($AJ$2:AJ119),$AG$2:$AI$151,3,FALSE),"")</f>
        <v/>
      </c>
      <c r="AM119" s="7">
        <f>IF(ISNUMBER(SEARCH(#REF!,AN119)),MAX($AM$1:AM118)+1,0)</f>
        <v>0</v>
      </c>
      <c r="AN119" s="7" t="e">
        <f>#REF!</f>
        <v>#REF!</v>
      </c>
      <c r="AO119" s="7" t="e">
        <f>#REF!</f>
        <v>#REF!</v>
      </c>
      <c r="AP119" s="8" t="str">
        <f>IFERROR(VLOOKUP(ROWS($AP$2:AP119),$AM$2:$AO$151,2,FALSE),"")</f>
        <v/>
      </c>
      <c r="AQ119" s="8" t="str">
        <f>IFERROR(VLOOKUP(ROWS($AP$2:AP119),$AM$2:$AO$151,3,FALSE),"")</f>
        <v/>
      </c>
      <c r="AS119" s="9">
        <f>IF(ISNUMBER(SEARCH(#REF!,AT119)),MAX($AS$1:AS118)+1,0)</f>
        <v>0</v>
      </c>
      <c r="AT119" s="9" t="e">
        <f>#REF!</f>
        <v>#REF!</v>
      </c>
      <c r="AU119" s="9" t="e">
        <f>#REF!</f>
        <v>#REF!</v>
      </c>
      <c r="AV119" s="10" t="str">
        <f>IFERROR(VLOOKUP(ROWS(AV$2:AV119),$AS$2:$AU$151,2,FALSE),"")</f>
        <v/>
      </c>
      <c r="AW119" s="10" t="str">
        <f>IFERROR(VLOOKUP(ROWS($AV$2:AV119),$AS$2:$AU$151,3,FALSE),"")</f>
        <v/>
      </c>
      <c r="AY119" s="9">
        <f>IF(ISNUMBER(SEARCH(#REF!,AZ119)),MAX($AY$1:AY118)+1,0)</f>
        <v>0</v>
      </c>
      <c r="AZ119" s="9" t="e">
        <f>#REF!</f>
        <v>#REF!</v>
      </c>
      <c r="BA119" s="9" t="e">
        <f>#REF!</f>
        <v>#REF!</v>
      </c>
      <c r="BB119" s="10" t="str">
        <f>IFERROR(VLOOKUP(ROWS($BB$2:BB119),$AY$2:$BA$151,2,FALSE),"")</f>
        <v/>
      </c>
      <c r="BC119" s="10" t="str">
        <f>IFERROR(VLOOKUP(ROWS($BB$2:BB119),$AY$2:$BA$151,3,FALSE),"")</f>
        <v/>
      </c>
    </row>
    <row r="120" spans="3:55" x14ac:dyDescent="0.25">
      <c r="C120" s="3">
        <f>IF(ISNUMBER(SEARCH(#REF!,D120)),MAX($C$1:C119)+1,0)</f>
        <v>0</v>
      </c>
      <c r="D120" s="3" t="e">
        <f>#REF!</f>
        <v>#REF!</v>
      </c>
      <c r="E120" s="3" t="e">
        <f>#REF!</f>
        <v>#REF!</v>
      </c>
      <c r="F120" s="4" t="str">
        <f>IFERROR(VLOOKUP(ROWS($F$2:F120),$C$2:$E$151,2,FALSE),"")</f>
        <v/>
      </c>
      <c r="G120" s="4" t="str">
        <f>IFERROR(VLOOKUP(ROWS($F$2:F120),$C$2:$E$151,3,FALSE),"")</f>
        <v/>
      </c>
      <c r="I120" s="3">
        <f>IF(ISNUMBER(SEARCH(#REF!,J120)),MAX($I$1:I119)+1,0)</f>
        <v>0</v>
      </c>
      <c r="J120" s="3" t="e">
        <f>#REF!</f>
        <v>#REF!</v>
      </c>
      <c r="K120" s="3" t="e">
        <f>#REF!</f>
        <v>#REF!</v>
      </c>
      <c r="L120" s="4" t="str">
        <f>IFERROR(VLOOKUP(ROWS($L$2:L120),$I$2:$K$151,2,FALSE),"")</f>
        <v/>
      </c>
      <c r="M120" s="4" t="str">
        <f>IFERROR(VLOOKUP(ROWS($L$2:L120),$I$2:$K$151,3,FALSE),"")</f>
        <v/>
      </c>
      <c r="O120" s="3">
        <f>IF(ISNUMBER(SEARCH(#REF!,P120)),MAX($O$1:O119)+1,0)</f>
        <v>0</v>
      </c>
      <c r="P120" s="3" t="e">
        <f>#REF!</f>
        <v>#REF!</v>
      </c>
      <c r="Q120" s="3" t="e">
        <f>#REF!</f>
        <v>#REF!</v>
      </c>
      <c r="R120" s="4" t="str">
        <f>IFERROR(VLOOKUP(ROWS($R$2:R120),$O$2:$Q$151,2,FALSE),"")</f>
        <v/>
      </c>
      <c r="S120" s="4" t="str">
        <f>IFERROR(VLOOKUP(ROWS($R$2:R120),$O$2:$Q$151,3,FALSE),"")</f>
        <v/>
      </c>
      <c r="U120" s="5">
        <f>IF(ISNUMBER(SEARCH(#REF!,V120)),MAX($U$1:U119)+1,0)</f>
        <v>0</v>
      </c>
      <c r="V120" s="5" t="e">
        <f>#REF!</f>
        <v>#REF!</v>
      </c>
      <c r="W120" s="5" t="e">
        <f>#REF!</f>
        <v>#REF!</v>
      </c>
      <c r="X120" s="6" t="str">
        <f>IFERROR(VLOOKUP(ROWS($X$2:X120),$U$2:$W$151,2,FALSE),"")</f>
        <v/>
      </c>
      <c r="Y120" s="6" t="str">
        <f>IFERROR(VLOOKUP(ROWS($X$2:X120),$U$2:$W$151,3,FALSE),"")</f>
        <v/>
      </c>
      <c r="AA120" s="5">
        <f>IF(ISNUMBER(SEARCH(#REF!,AB120)),MAX($AA$1:AA119)+1,0)</f>
        <v>0</v>
      </c>
      <c r="AB120" s="5" t="e">
        <f>#REF!</f>
        <v>#REF!</v>
      </c>
      <c r="AC120" s="5" t="e">
        <f>#REF!</f>
        <v>#REF!</v>
      </c>
      <c r="AD120" s="6" t="str">
        <f>IFERROR(VLOOKUP(ROWS($AD$2:AD120),$AA$2:$AC$151,2,FALSE),"")</f>
        <v/>
      </c>
      <c r="AE120" s="6" t="str">
        <f>IFERROR(VLOOKUP(ROWS($AD$2:AD120),$AA$2:$AC$151,3,FALSE),"")</f>
        <v/>
      </c>
      <c r="AG120" s="7">
        <f>IF(ISNUMBER(SEARCH(#REF!,AH120)),MAX($AG$1:AG119)+1,0)</f>
        <v>0</v>
      </c>
      <c r="AH120" s="7" t="e">
        <f>#REF!</f>
        <v>#REF!</v>
      </c>
      <c r="AI120" s="7" t="e">
        <f>#REF!</f>
        <v>#REF!</v>
      </c>
      <c r="AJ120" s="8" t="str">
        <f>IFERROR(VLOOKUP(ROWS(AJ$2:AJ120),$AG$2:$AI$151,2,FALSE),"")</f>
        <v/>
      </c>
      <c r="AK120" s="8" t="str">
        <f>IFERROR(VLOOKUP(ROWS($AJ$2:AJ120),$AG$2:$AI$151,3,FALSE),"")</f>
        <v/>
      </c>
      <c r="AM120" s="7">
        <f>IF(ISNUMBER(SEARCH(#REF!,AN120)),MAX($AM$1:AM119)+1,0)</f>
        <v>0</v>
      </c>
      <c r="AN120" s="7" t="e">
        <f>#REF!</f>
        <v>#REF!</v>
      </c>
      <c r="AO120" s="7" t="e">
        <f>#REF!</f>
        <v>#REF!</v>
      </c>
      <c r="AP120" s="8" t="str">
        <f>IFERROR(VLOOKUP(ROWS($AP$2:AP120),$AM$2:$AO$151,2,FALSE),"")</f>
        <v/>
      </c>
      <c r="AQ120" s="8" t="str">
        <f>IFERROR(VLOOKUP(ROWS($AP$2:AP120),$AM$2:$AO$151,3,FALSE),"")</f>
        <v/>
      </c>
      <c r="AS120" s="9">
        <f>IF(ISNUMBER(SEARCH(#REF!,AT120)),MAX($AS$1:AS119)+1,0)</f>
        <v>0</v>
      </c>
      <c r="AT120" s="9" t="e">
        <f>#REF!</f>
        <v>#REF!</v>
      </c>
      <c r="AU120" s="9" t="e">
        <f>#REF!</f>
        <v>#REF!</v>
      </c>
      <c r="AV120" s="10" t="str">
        <f>IFERROR(VLOOKUP(ROWS(AV$2:AV120),$AS$2:$AU$151,2,FALSE),"")</f>
        <v/>
      </c>
      <c r="AW120" s="10" t="str">
        <f>IFERROR(VLOOKUP(ROWS($AV$2:AV120),$AS$2:$AU$151,3,FALSE),"")</f>
        <v/>
      </c>
      <c r="AY120" s="9">
        <f>IF(ISNUMBER(SEARCH(#REF!,AZ120)),MAX($AY$1:AY119)+1,0)</f>
        <v>0</v>
      </c>
      <c r="AZ120" s="9" t="e">
        <f>#REF!</f>
        <v>#REF!</v>
      </c>
      <c r="BA120" s="9" t="e">
        <f>#REF!</f>
        <v>#REF!</v>
      </c>
      <c r="BB120" s="10" t="str">
        <f>IFERROR(VLOOKUP(ROWS($BB$2:BB120),$AY$2:$BA$151,2,FALSE),"")</f>
        <v/>
      </c>
      <c r="BC120" s="10" t="str">
        <f>IFERROR(VLOOKUP(ROWS($BB$2:BB120),$AY$2:$BA$151,3,FALSE),"")</f>
        <v/>
      </c>
    </row>
    <row r="121" spans="3:55" x14ac:dyDescent="0.25">
      <c r="C121" s="3">
        <f>IF(ISNUMBER(SEARCH(#REF!,D121)),MAX($C$1:C120)+1,0)</f>
        <v>0</v>
      </c>
      <c r="D121" s="3" t="e">
        <f>#REF!</f>
        <v>#REF!</v>
      </c>
      <c r="E121" s="3" t="e">
        <f>#REF!</f>
        <v>#REF!</v>
      </c>
      <c r="F121" s="4" t="str">
        <f>IFERROR(VLOOKUP(ROWS($F$2:F121),$C$2:$E$151,2,FALSE),"")</f>
        <v/>
      </c>
      <c r="G121" s="4" t="str">
        <f>IFERROR(VLOOKUP(ROWS($F$2:F121),$C$2:$E$151,3,FALSE),"")</f>
        <v/>
      </c>
      <c r="I121" s="3">
        <f>IF(ISNUMBER(SEARCH(#REF!,J121)),MAX($I$1:I120)+1,0)</f>
        <v>0</v>
      </c>
      <c r="J121" s="3" t="e">
        <f>#REF!</f>
        <v>#REF!</v>
      </c>
      <c r="K121" s="3" t="e">
        <f>#REF!</f>
        <v>#REF!</v>
      </c>
      <c r="L121" s="4" t="str">
        <f>IFERROR(VLOOKUP(ROWS($L$2:L121),$I$2:$K$151,2,FALSE),"")</f>
        <v/>
      </c>
      <c r="M121" s="4" t="str">
        <f>IFERROR(VLOOKUP(ROWS($L$2:L121),$I$2:$K$151,3,FALSE),"")</f>
        <v/>
      </c>
      <c r="O121" s="3">
        <f>IF(ISNUMBER(SEARCH(#REF!,P121)),MAX($O$1:O120)+1,0)</f>
        <v>0</v>
      </c>
      <c r="P121" s="3" t="e">
        <f>#REF!</f>
        <v>#REF!</v>
      </c>
      <c r="Q121" s="3" t="e">
        <f>#REF!</f>
        <v>#REF!</v>
      </c>
      <c r="R121" s="4" t="str">
        <f>IFERROR(VLOOKUP(ROWS($R$2:R121),$O$2:$Q$151,2,FALSE),"")</f>
        <v/>
      </c>
      <c r="S121" s="4" t="str">
        <f>IFERROR(VLOOKUP(ROWS($R$2:R121),$O$2:$Q$151,3,FALSE),"")</f>
        <v/>
      </c>
      <c r="U121" s="5">
        <f>IF(ISNUMBER(SEARCH(#REF!,V121)),MAX($U$1:U120)+1,0)</f>
        <v>0</v>
      </c>
      <c r="V121" s="5" t="e">
        <f>#REF!</f>
        <v>#REF!</v>
      </c>
      <c r="W121" s="5" t="e">
        <f>#REF!</f>
        <v>#REF!</v>
      </c>
      <c r="X121" s="6" t="str">
        <f>IFERROR(VLOOKUP(ROWS($X$2:X121),$U$2:$W$151,2,FALSE),"")</f>
        <v/>
      </c>
      <c r="Y121" s="6" t="str">
        <f>IFERROR(VLOOKUP(ROWS($X$2:X121),$U$2:$W$151,3,FALSE),"")</f>
        <v/>
      </c>
      <c r="AA121" s="5">
        <f>IF(ISNUMBER(SEARCH(#REF!,AB121)),MAX($AA$1:AA120)+1,0)</f>
        <v>0</v>
      </c>
      <c r="AB121" s="5" t="e">
        <f>#REF!</f>
        <v>#REF!</v>
      </c>
      <c r="AC121" s="5" t="e">
        <f>#REF!</f>
        <v>#REF!</v>
      </c>
      <c r="AD121" s="6" t="str">
        <f>IFERROR(VLOOKUP(ROWS($AD$2:AD121),$AA$2:$AC$151,2,FALSE),"")</f>
        <v/>
      </c>
      <c r="AE121" s="6" t="str">
        <f>IFERROR(VLOOKUP(ROWS($AD$2:AD121),$AA$2:$AC$151,3,FALSE),"")</f>
        <v/>
      </c>
      <c r="AG121" s="7">
        <f>IF(ISNUMBER(SEARCH(#REF!,AH121)),MAX($AG$1:AG120)+1,0)</f>
        <v>0</v>
      </c>
      <c r="AH121" s="7" t="e">
        <f>#REF!</f>
        <v>#REF!</v>
      </c>
      <c r="AI121" s="7" t="e">
        <f>#REF!</f>
        <v>#REF!</v>
      </c>
      <c r="AJ121" s="8" t="str">
        <f>IFERROR(VLOOKUP(ROWS(AJ$2:AJ121),$AG$2:$AI$151,2,FALSE),"")</f>
        <v/>
      </c>
      <c r="AK121" s="8" t="str">
        <f>IFERROR(VLOOKUP(ROWS($AJ$2:AJ121),$AG$2:$AI$151,3,FALSE),"")</f>
        <v/>
      </c>
      <c r="AM121" s="7">
        <f>IF(ISNUMBER(SEARCH(#REF!,AN121)),MAX($AM$1:AM120)+1,0)</f>
        <v>0</v>
      </c>
      <c r="AN121" s="7" t="e">
        <f>#REF!</f>
        <v>#REF!</v>
      </c>
      <c r="AO121" s="7" t="e">
        <f>#REF!</f>
        <v>#REF!</v>
      </c>
      <c r="AP121" s="8" t="str">
        <f>IFERROR(VLOOKUP(ROWS($AP$2:AP121),$AM$2:$AO$151,2,FALSE),"")</f>
        <v/>
      </c>
      <c r="AQ121" s="8" t="str">
        <f>IFERROR(VLOOKUP(ROWS($AP$2:AP121),$AM$2:$AO$151,3,FALSE),"")</f>
        <v/>
      </c>
      <c r="AS121" s="9">
        <f>IF(ISNUMBER(SEARCH(#REF!,AT121)),MAX($AS$1:AS120)+1,0)</f>
        <v>0</v>
      </c>
      <c r="AT121" s="9" t="e">
        <f>#REF!</f>
        <v>#REF!</v>
      </c>
      <c r="AU121" s="9" t="e">
        <f>#REF!</f>
        <v>#REF!</v>
      </c>
      <c r="AV121" s="10" t="str">
        <f>IFERROR(VLOOKUP(ROWS(AV$2:AV121),$AS$2:$AU$151,2,FALSE),"")</f>
        <v/>
      </c>
      <c r="AW121" s="10" t="str">
        <f>IFERROR(VLOOKUP(ROWS($AV$2:AV121),$AS$2:$AU$151,3,FALSE),"")</f>
        <v/>
      </c>
      <c r="AY121" s="9">
        <f>IF(ISNUMBER(SEARCH(#REF!,AZ121)),MAX($AY$1:AY120)+1,0)</f>
        <v>0</v>
      </c>
      <c r="AZ121" s="9" t="e">
        <f>#REF!</f>
        <v>#REF!</v>
      </c>
      <c r="BA121" s="9" t="e">
        <f>#REF!</f>
        <v>#REF!</v>
      </c>
      <c r="BB121" s="10" t="str">
        <f>IFERROR(VLOOKUP(ROWS($BB$2:BB121),$AY$2:$BA$151,2,FALSE),"")</f>
        <v/>
      </c>
      <c r="BC121" s="10" t="str">
        <f>IFERROR(VLOOKUP(ROWS($BB$2:BB121),$AY$2:$BA$151,3,FALSE),"")</f>
        <v/>
      </c>
    </row>
    <row r="122" spans="3:55" x14ac:dyDescent="0.25">
      <c r="C122" s="3">
        <f>IF(ISNUMBER(SEARCH(#REF!,D122)),MAX($C$1:C121)+1,0)</f>
        <v>0</v>
      </c>
      <c r="D122" s="3" t="e">
        <f>#REF!</f>
        <v>#REF!</v>
      </c>
      <c r="E122" s="3" t="e">
        <f>#REF!</f>
        <v>#REF!</v>
      </c>
      <c r="F122" s="4" t="str">
        <f>IFERROR(VLOOKUP(ROWS($F$2:F122),$C$2:$E$151,2,FALSE),"")</f>
        <v/>
      </c>
      <c r="G122" s="4" t="str">
        <f>IFERROR(VLOOKUP(ROWS($F$2:F122),$C$2:$E$151,3,FALSE),"")</f>
        <v/>
      </c>
      <c r="I122" s="3">
        <f>IF(ISNUMBER(SEARCH(#REF!,J122)),MAX($I$1:I121)+1,0)</f>
        <v>0</v>
      </c>
      <c r="J122" s="3" t="e">
        <f>#REF!</f>
        <v>#REF!</v>
      </c>
      <c r="K122" s="3" t="e">
        <f>#REF!</f>
        <v>#REF!</v>
      </c>
      <c r="L122" s="4" t="str">
        <f>IFERROR(VLOOKUP(ROWS($L$2:L122),$I$2:$K$151,2,FALSE),"")</f>
        <v/>
      </c>
      <c r="M122" s="4" t="str">
        <f>IFERROR(VLOOKUP(ROWS($L$2:L122),$I$2:$K$151,3,FALSE),"")</f>
        <v/>
      </c>
      <c r="O122" s="3">
        <f>IF(ISNUMBER(SEARCH(#REF!,P122)),MAX($O$1:O121)+1,0)</f>
        <v>0</v>
      </c>
      <c r="P122" s="3" t="e">
        <f>#REF!</f>
        <v>#REF!</v>
      </c>
      <c r="Q122" s="3" t="e">
        <f>#REF!</f>
        <v>#REF!</v>
      </c>
      <c r="R122" s="4" t="str">
        <f>IFERROR(VLOOKUP(ROWS($R$2:R122),$O$2:$Q$151,2,FALSE),"")</f>
        <v/>
      </c>
      <c r="S122" s="4" t="str">
        <f>IFERROR(VLOOKUP(ROWS($R$2:R122),$O$2:$Q$151,3,FALSE),"")</f>
        <v/>
      </c>
      <c r="U122" s="5">
        <f>IF(ISNUMBER(SEARCH(#REF!,V122)),MAX($U$1:U121)+1,0)</f>
        <v>0</v>
      </c>
      <c r="V122" s="5" t="e">
        <f>#REF!</f>
        <v>#REF!</v>
      </c>
      <c r="W122" s="5" t="e">
        <f>#REF!</f>
        <v>#REF!</v>
      </c>
      <c r="X122" s="6" t="str">
        <f>IFERROR(VLOOKUP(ROWS($X$2:X122),$U$2:$W$151,2,FALSE),"")</f>
        <v/>
      </c>
      <c r="Y122" s="6" t="str">
        <f>IFERROR(VLOOKUP(ROWS($X$2:X122),$U$2:$W$151,3,FALSE),"")</f>
        <v/>
      </c>
      <c r="AA122" s="5">
        <f>IF(ISNUMBER(SEARCH(#REF!,AB122)),MAX($AA$1:AA121)+1,0)</f>
        <v>0</v>
      </c>
      <c r="AB122" s="5" t="e">
        <f>#REF!</f>
        <v>#REF!</v>
      </c>
      <c r="AC122" s="5" t="e">
        <f>#REF!</f>
        <v>#REF!</v>
      </c>
      <c r="AD122" s="6" t="str">
        <f>IFERROR(VLOOKUP(ROWS($AD$2:AD122),$AA$2:$AC$151,2,FALSE),"")</f>
        <v/>
      </c>
      <c r="AE122" s="6" t="str">
        <f>IFERROR(VLOOKUP(ROWS($AD$2:AD122),$AA$2:$AC$151,3,FALSE),"")</f>
        <v/>
      </c>
      <c r="AG122" s="7">
        <f>IF(ISNUMBER(SEARCH(#REF!,AH122)),MAX($AG$1:AG121)+1,0)</f>
        <v>0</v>
      </c>
      <c r="AH122" s="7" t="e">
        <f>#REF!</f>
        <v>#REF!</v>
      </c>
      <c r="AI122" s="7" t="e">
        <f>#REF!</f>
        <v>#REF!</v>
      </c>
      <c r="AJ122" s="8" t="str">
        <f>IFERROR(VLOOKUP(ROWS(AJ$2:AJ122),$AG$2:$AI$151,2,FALSE),"")</f>
        <v/>
      </c>
      <c r="AK122" s="8" t="str">
        <f>IFERROR(VLOOKUP(ROWS($AJ$2:AJ122),$AG$2:$AI$151,3,FALSE),"")</f>
        <v/>
      </c>
      <c r="AM122" s="7">
        <f>IF(ISNUMBER(SEARCH(#REF!,AN122)),MAX($AM$1:AM121)+1,0)</f>
        <v>0</v>
      </c>
      <c r="AN122" s="7" t="e">
        <f>#REF!</f>
        <v>#REF!</v>
      </c>
      <c r="AO122" s="7" t="e">
        <f>#REF!</f>
        <v>#REF!</v>
      </c>
      <c r="AP122" s="8" t="str">
        <f>IFERROR(VLOOKUP(ROWS($AP$2:AP122),$AM$2:$AO$151,2,FALSE),"")</f>
        <v/>
      </c>
      <c r="AQ122" s="8" t="str">
        <f>IFERROR(VLOOKUP(ROWS($AP$2:AP122),$AM$2:$AO$151,3,FALSE),"")</f>
        <v/>
      </c>
      <c r="AS122" s="9">
        <f>IF(ISNUMBER(SEARCH(#REF!,AT122)),MAX($AS$1:AS121)+1,0)</f>
        <v>0</v>
      </c>
      <c r="AT122" s="9" t="e">
        <f>#REF!</f>
        <v>#REF!</v>
      </c>
      <c r="AU122" s="9" t="e">
        <f>#REF!</f>
        <v>#REF!</v>
      </c>
      <c r="AV122" s="10" t="str">
        <f>IFERROR(VLOOKUP(ROWS(AV$2:AV122),$AS$2:$AU$151,2,FALSE),"")</f>
        <v/>
      </c>
      <c r="AW122" s="10" t="str">
        <f>IFERROR(VLOOKUP(ROWS($AV$2:AV122),$AS$2:$AU$151,3,FALSE),"")</f>
        <v/>
      </c>
      <c r="AY122" s="9">
        <f>IF(ISNUMBER(SEARCH(#REF!,AZ122)),MAX($AY$1:AY121)+1,0)</f>
        <v>0</v>
      </c>
      <c r="AZ122" s="9" t="e">
        <f>#REF!</f>
        <v>#REF!</v>
      </c>
      <c r="BA122" s="9" t="e">
        <f>#REF!</f>
        <v>#REF!</v>
      </c>
      <c r="BB122" s="10" t="str">
        <f>IFERROR(VLOOKUP(ROWS($BB$2:BB122),$AY$2:$BA$151,2,FALSE),"")</f>
        <v/>
      </c>
      <c r="BC122" s="10" t="str">
        <f>IFERROR(VLOOKUP(ROWS($BB$2:BB122),$AY$2:$BA$151,3,FALSE),"")</f>
        <v/>
      </c>
    </row>
    <row r="123" spans="3:55" x14ac:dyDescent="0.25">
      <c r="C123" s="3">
        <f>IF(ISNUMBER(SEARCH(#REF!,D123)),MAX($C$1:C122)+1,0)</f>
        <v>0</v>
      </c>
      <c r="D123" s="3" t="e">
        <f>#REF!</f>
        <v>#REF!</v>
      </c>
      <c r="E123" s="3" t="e">
        <f>#REF!</f>
        <v>#REF!</v>
      </c>
      <c r="F123" s="4" t="str">
        <f>IFERROR(VLOOKUP(ROWS($F$2:F123),$C$2:$E$151,2,FALSE),"")</f>
        <v/>
      </c>
      <c r="G123" s="4" t="str">
        <f>IFERROR(VLOOKUP(ROWS($F$2:F123),$C$2:$E$151,3,FALSE),"")</f>
        <v/>
      </c>
      <c r="I123" s="3">
        <f>IF(ISNUMBER(SEARCH(#REF!,J123)),MAX($I$1:I122)+1,0)</f>
        <v>0</v>
      </c>
      <c r="J123" s="3" t="e">
        <f>#REF!</f>
        <v>#REF!</v>
      </c>
      <c r="K123" s="3" t="e">
        <f>#REF!</f>
        <v>#REF!</v>
      </c>
      <c r="L123" s="4" t="str">
        <f>IFERROR(VLOOKUP(ROWS($L$2:L123),$I$2:$K$151,2,FALSE),"")</f>
        <v/>
      </c>
      <c r="M123" s="4" t="str">
        <f>IFERROR(VLOOKUP(ROWS($L$2:L123),$I$2:$K$151,3,FALSE),"")</f>
        <v/>
      </c>
      <c r="O123" s="3">
        <f>IF(ISNUMBER(SEARCH(#REF!,P123)),MAX($O$1:O122)+1,0)</f>
        <v>0</v>
      </c>
      <c r="P123" s="3" t="e">
        <f>#REF!</f>
        <v>#REF!</v>
      </c>
      <c r="Q123" s="3" t="e">
        <f>#REF!</f>
        <v>#REF!</v>
      </c>
      <c r="R123" s="4" t="str">
        <f>IFERROR(VLOOKUP(ROWS($R$2:R123),$O$2:$Q$151,2,FALSE),"")</f>
        <v/>
      </c>
      <c r="S123" s="4" t="str">
        <f>IFERROR(VLOOKUP(ROWS($R$2:R123),$O$2:$Q$151,3,FALSE),"")</f>
        <v/>
      </c>
      <c r="U123" s="5">
        <f>IF(ISNUMBER(SEARCH(#REF!,V123)),MAX($U$1:U122)+1,0)</f>
        <v>0</v>
      </c>
      <c r="V123" s="5" t="e">
        <f>#REF!</f>
        <v>#REF!</v>
      </c>
      <c r="W123" s="5" t="e">
        <f>#REF!</f>
        <v>#REF!</v>
      </c>
      <c r="X123" s="6" t="str">
        <f>IFERROR(VLOOKUP(ROWS($X$2:X123),$U$2:$W$151,2,FALSE),"")</f>
        <v/>
      </c>
      <c r="Y123" s="6" t="str">
        <f>IFERROR(VLOOKUP(ROWS($X$2:X123),$U$2:$W$151,3,FALSE),"")</f>
        <v/>
      </c>
      <c r="AA123" s="5">
        <f>IF(ISNUMBER(SEARCH(#REF!,AB123)),MAX($AA$1:AA122)+1,0)</f>
        <v>0</v>
      </c>
      <c r="AB123" s="5" t="e">
        <f>#REF!</f>
        <v>#REF!</v>
      </c>
      <c r="AC123" s="5" t="e">
        <f>#REF!</f>
        <v>#REF!</v>
      </c>
      <c r="AD123" s="6" t="str">
        <f>IFERROR(VLOOKUP(ROWS($AD$2:AD123),$AA$2:$AC$151,2,FALSE),"")</f>
        <v/>
      </c>
      <c r="AE123" s="6" t="str">
        <f>IFERROR(VLOOKUP(ROWS($AD$2:AD123),$AA$2:$AC$151,3,FALSE),"")</f>
        <v/>
      </c>
      <c r="AG123" s="7">
        <f>IF(ISNUMBER(SEARCH(#REF!,AH123)),MAX($AG$1:AG122)+1,0)</f>
        <v>0</v>
      </c>
      <c r="AH123" s="7" t="e">
        <f>#REF!</f>
        <v>#REF!</v>
      </c>
      <c r="AI123" s="7" t="e">
        <f>#REF!</f>
        <v>#REF!</v>
      </c>
      <c r="AJ123" s="8" t="str">
        <f>IFERROR(VLOOKUP(ROWS(AJ$2:AJ123),$AG$2:$AI$151,2,FALSE),"")</f>
        <v/>
      </c>
      <c r="AK123" s="8" t="str">
        <f>IFERROR(VLOOKUP(ROWS($AJ$2:AJ123),$AG$2:$AI$151,3,FALSE),"")</f>
        <v/>
      </c>
      <c r="AM123" s="7">
        <f>IF(ISNUMBER(SEARCH(#REF!,AN123)),MAX($AM$1:AM122)+1,0)</f>
        <v>0</v>
      </c>
      <c r="AN123" s="7" t="e">
        <f>#REF!</f>
        <v>#REF!</v>
      </c>
      <c r="AO123" s="7" t="e">
        <f>#REF!</f>
        <v>#REF!</v>
      </c>
      <c r="AP123" s="8" t="str">
        <f>IFERROR(VLOOKUP(ROWS($AP$2:AP123),$AM$2:$AO$151,2,FALSE),"")</f>
        <v/>
      </c>
      <c r="AQ123" s="8" t="str">
        <f>IFERROR(VLOOKUP(ROWS($AP$2:AP123),$AM$2:$AO$151,3,FALSE),"")</f>
        <v/>
      </c>
      <c r="AS123" s="9">
        <f>IF(ISNUMBER(SEARCH(#REF!,AT123)),MAX($AS$1:AS122)+1,0)</f>
        <v>0</v>
      </c>
      <c r="AT123" s="9" t="e">
        <f>#REF!</f>
        <v>#REF!</v>
      </c>
      <c r="AU123" s="9" t="e">
        <f>#REF!</f>
        <v>#REF!</v>
      </c>
      <c r="AV123" s="10" t="str">
        <f>IFERROR(VLOOKUP(ROWS(AV$2:AV123),$AS$2:$AU$151,2,FALSE),"")</f>
        <v/>
      </c>
      <c r="AW123" s="10" t="str">
        <f>IFERROR(VLOOKUP(ROWS($AV$2:AV123),$AS$2:$AU$151,3,FALSE),"")</f>
        <v/>
      </c>
      <c r="AY123" s="9">
        <f>IF(ISNUMBER(SEARCH(#REF!,AZ123)),MAX($AY$1:AY122)+1,0)</f>
        <v>0</v>
      </c>
      <c r="AZ123" s="9" t="e">
        <f>#REF!</f>
        <v>#REF!</v>
      </c>
      <c r="BA123" s="9" t="e">
        <f>#REF!</f>
        <v>#REF!</v>
      </c>
      <c r="BB123" s="10" t="str">
        <f>IFERROR(VLOOKUP(ROWS($BB$2:BB123),$AY$2:$BA$151,2,FALSE),"")</f>
        <v/>
      </c>
      <c r="BC123" s="10" t="str">
        <f>IFERROR(VLOOKUP(ROWS($BB$2:BB123),$AY$2:$BA$151,3,FALSE),"")</f>
        <v/>
      </c>
    </row>
    <row r="124" spans="3:55" x14ac:dyDescent="0.25">
      <c r="C124" s="3">
        <f>IF(ISNUMBER(SEARCH(#REF!,D124)),MAX($C$1:C123)+1,0)</f>
        <v>0</v>
      </c>
      <c r="D124" s="3" t="e">
        <f>#REF!</f>
        <v>#REF!</v>
      </c>
      <c r="E124" s="3" t="e">
        <f>#REF!</f>
        <v>#REF!</v>
      </c>
      <c r="F124" s="4" t="str">
        <f>IFERROR(VLOOKUP(ROWS($F$2:F124),$C$2:$E$151,2,FALSE),"")</f>
        <v/>
      </c>
      <c r="G124" s="4" t="str">
        <f>IFERROR(VLOOKUP(ROWS($F$2:F124),$C$2:$E$151,3,FALSE),"")</f>
        <v/>
      </c>
      <c r="I124" s="3">
        <f>IF(ISNUMBER(SEARCH(#REF!,J124)),MAX($I$1:I123)+1,0)</f>
        <v>0</v>
      </c>
      <c r="J124" s="3" t="e">
        <f>#REF!</f>
        <v>#REF!</v>
      </c>
      <c r="K124" s="3" t="e">
        <f>#REF!</f>
        <v>#REF!</v>
      </c>
      <c r="L124" s="4" t="str">
        <f>IFERROR(VLOOKUP(ROWS($L$2:L124),$I$2:$K$151,2,FALSE),"")</f>
        <v/>
      </c>
      <c r="M124" s="4" t="str">
        <f>IFERROR(VLOOKUP(ROWS($L$2:L124),$I$2:$K$151,3,FALSE),"")</f>
        <v/>
      </c>
      <c r="O124" s="3">
        <f>IF(ISNUMBER(SEARCH(#REF!,P124)),MAX($O$1:O123)+1,0)</f>
        <v>0</v>
      </c>
      <c r="P124" s="3" t="e">
        <f>#REF!</f>
        <v>#REF!</v>
      </c>
      <c r="Q124" s="3" t="e">
        <f>#REF!</f>
        <v>#REF!</v>
      </c>
      <c r="R124" s="4" t="str">
        <f>IFERROR(VLOOKUP(ROWS($R$2:R124),$O$2:$Q$151,2,FALSE),"")</f>
        <v/>
      </c>
      <c r="S124" s="4" t="str">
        <f>IFERROR(VLOOKUP(ROWS($R$2:R124),$O$2:$Q$151,3,FALSE),"")</f>
        <v/>
      </c>
      <c r="U124" s="5">
        <f>IF(ISNUMBER(SEARCH(#REF!,V124)),MAX($U$1:U123)+1,0)</f>
        <v>0</v>
      </c>
      <c r="V124" s="5" t="e">
        <f>#REF!</f>
        <v>#REF!</v>
      </c>
      <c r="W124" s="5" t="e">
        <f>#REF!</f>
        <v>#REF!</v>
      </c>
      <c r="X124" s="6" t="str">
        <f>IFERROR(VLOOKUP(ROWS($X$2:X124),$U$2:$W$151,2,FALSE),"")</f>
        <v/>
      </c>
      <c r="Y124" s="6" t="str">
        <f>IFERROR(VLOOKUP(ROWS($X$2:X124),$U$2:$W$151,3,FALSE),"")</f>
        <v/>
      </c>
      <c r="AA124" s="5">
        <f>IF(ISNUMBER(SEARCH(#REF!,AB124)),MAX($AA$1:AA123)+1,0)</f>
        <v>0</v>
      </c>
      <c r="AB124" s="5" t="e">
        <f>#REF!</f>
        <v>#REF!</v>
      </c>
      <c r="AC124" s="5" t="e">
        <f>#REF!</f>
        <v>#REF!</v>
      </c>
      <c r="AD124" s="6" t="str">
        <f>IFERROR(VLOOKUP(ROWS($AD$2:AD124),$AA$2:$AC$151,2,FALSE),"")</f>
        <v/>
      </c>
      <c r="AE124" s="6" t="str">
        <f>IFERROR(VLOOKUP(ROWS($AD$2:AD124),$AA$2:$AC$151,3,FALSE),"")</f>
        <v/>
      </c>
      <c r="AG124" s="7">
        <f>IF(ISNUMBER(SEARCH(#REF!,AH124)),MAX($AG$1:AG123)+1,0)</f>
        <v>0</v>
      </c>
      <c r="AH124" s="7" t="e">
        <f>#REF!</f>
        <v>#REF!</v>
      </c>
      <c r="AI124" s="7" t="e">
        <f>#REF!</f>
        <v>#REF!</v>
      </c>
      <c r="AJ124" s="8" t="str">
        <f>IFERROR(VLOOKUP(ROWS(AJ$2:AJ124),$AG$2:$AI$151,2,FALSE),"")</f>
        <v/>
      </c>
      <c r="AK124" s="8" t="str">
        <f>IFERROR(VLOOKUP(ROWS($AJ$2:AJ124),$AG$2:$AI$151,3,FALSE),"")</f>
        <v/>
      </c>
      <c r="AM124" s="7">
        <f>IF(ISNUMBER(SEARCH(#REF!,AN124)),MAX($AM$1:AM123)+1,0)</f>
        <v>0</v>
      </c>
      <c r="AN124" s="7" t="e">
        <f>#REF!</f>
        <v>#REF!</v>
      </c>
      <c r="AO124" s="7" t="e">
        <f>#REF!</f>
        <v>#REF!</v>
      </c>
      <c r="AP124" s="8" t="str">
        <f>IFERROR(VLOOKUP(ROWS($AP$2:AP124),$AM$2:$AO$151,2,FALSE),"")</f>
        <v/>
      </c>
      <c r="AQ124" s="8" t="str">
        <f>IFERROR(VLOOKUP(ROWS($AP$2:AP124),$AM$2:$AO$151,3,FALSE),"")</f>
        <v/>
      </c>
      <c r="AS124" s="9">
        <f>IF(ISNUMBER(SEARCH(#REF!,AT124)),MAX($AS$1:AS123)+1,0)</f>
        <v>0</v>
      </c>
      <c r="AT124" s="9" t="e">
        <f>#REF!</f>
        <v>#REF!</v>
      </c>
      <c r="AU124" s="9" t="e">
        <f>#REF!</f>
        <v>#REF!</v>
      </c>
      <c r="AV124" s="10" t="str">
        <f>IFERROR(VLOOKUP(ROWS(AV$2:AV124),$AS$2:$AU$151,2,FALSE),"")</f>
        <v/>
      </c>
      <c r="AW124" s="10" t="str">
        <f>IFERROR(VLOOKUP(ROWS($AV$2:AV124),$AS$2:$AU$151,3,FALSE),"")</f>
        <v/>
      </c>
      <c r="AY124" s="9">
        <f>IF(ISNUMBER(SEARCH(#REF!,AZ124)),MAX($AY$1:AY123)+1,0)</f>
        <v>0</v>
      </c>
      <c r="AZ124" s="9" t="e">
        <f>#REF!</f>
        <v>#REF!</v>
      </c>
      <c r="BA124" s="9" t="e">
        <f>#REF!</f>
        <v>#REF!</v>
      </c>
      <c r="BB124" s="10" t="str">
        <f>IFERROR(VLOOKUP(ROWS($BB$2:BB124),$AY$2:$BA$151,2,FALSE),"")</f>
        <v/>
      </c>
      <c r="BC124" s="10" t="str">
        <f>IFERROR(VLOOKUP(ROWS($BB$2:BB124),$AY$2:$BA$151,3,FALSE),"")</f>
        <v/>
      </c>
    </row>
    <row r="125" spans="3:55" x14ac:dyDescent="0.25">
      <c r="C125" s="3">
        <f>IF(ISNUMBER(SEARCH(#REF!,D125)),MAX($C$1:C124)+1,0)</f>
        <v>0</v>
      </c>
      <c r="D125" s="3" t="e">
        <f>#REF!</f>
        <v>#REF!</v>
      </c>
      <c r="E125" s="3" t="e">
        <f>#REF!</f>
        <v>#REF!</v>
      </c>
      <c r="F125" s="4" t="str">
        <f>IFERROR(VLOOKUP(ROWS($F$2:F125),$C$2:$E$151,2,FALSE),"")</f>
        <v/>
      </c>
      <c r="G125" s="4" t="str">
        <f>IFERROR(VLOOKUP(ROWS($F$2:F125),$C$2:$E$151,3,FALSE),"")</f>
        <v/>
      </c>
      <c r="I125" s="3">
        <f>IF(ISNUMBER(SEARCH(#REF!,J125)),MAX($I$1:I124)+1,0)</f>
        <v>0</v>
      </c>
      <c r="J125" s="3" t="e">
        <f>#REF!</f>
        <v>#REF!</v>
      </c>
      <c r="K125" s="3" t="e">
        <f>#REF!</f>
        <v>#REF!</v>
      </c>
      <c r="L125" s="4" t="str">
        <f>IFERROR(VLOOKUP(ROWS($L$2:L125),$I$2:$K$151,2,FALSE),"")</f>
        <v/>
      </c>
      <c r="M125" s="4" t="str">
        <f>IFERROR(VLOOKUP(ROWS($L$2:L125),$I$2:$K$151,3,FALSE),"")</f>
        <v/>
      </c>
      <c r="O125" s="3">
        <f>IF(ISNUMBER(SEARCH(#REF!,P125)),MAX($O$1:O124)+1,0)</f>
        <v>0</v>
      </c>
      <c r="P125" s="3" t="e">
        <f>#REF!</f>
        <v>#REF!</v>
      </c>
      <c r="Q125" s="3" t="e">
        <f>#REF!</f>
        <v>#REF!</v>
      </c>
      <c r="R125" s="4" t="str">
        <f>IFERROR(VLOOKUP(ROWS($R$2:R125),$O$2:$Q$151,2,FALSE),"")</f>
        <v/>
      </c>
      <c r="S125" s="4" t="str">
        <f>IFERROR(VLOOKUP(ROWS($R$2:R125),$O$2:$Q$151,3,FALSE),"")</f>
        <v/>
      </c>
      <c r="U125" s="5">
        <f>IF(ISNUMBER(SEARCH(#REF!,V125)),MAX($U$1:U124)+1,0)</f>
        <v>0</v>
      </c>
      <c r="V125" s="5" t="e">
        <f>#REF!</f>
        <v>#REF!</v>
      </c>
      <c r="W125" s="5" t="e">
        <f>#REF!</f>
        <v>#REF!</v>
      </c>
      <c r="X125" s="6" t="str">
        <f>IFERROR(VLOOKUP(ROWS($X$2:X125),$U$2:$W$151,2,FALSE),"")</f>
        <v/>
      </c>
      <c r="Y125" s="6" t="str">
        <f>IFERROR(VLOOKUP(ROWS($X$2:X125),$U$2:$W$151,3,FALSE),"")</f>
        <v/>
      </c>
      <c r="AA125" s="5">
        <f>IF(ISNUMBER(SEARCH(#REF!,AB125)),MAX($AA$1:AA124)+1,0)</f>
        <v>0</v>
      </c>
      <c r="AB125" s="5" t="e">
        <f>#REF!</f>
        <v>#REF!</v>
      </c>
      <c r="AC125" s="5" t="e">
        <f>#REF!</f>
        <v>#REF!</v>
      </c>
      <c r="AD125" s="6" t="str">
        <f>IFERROR(VLOOKUP(ROWS($AD$2:AD125),$AA$2:$AC$151,2,FALSE),"")</f>
        <v/>
      </c>
      <c r="AE125" s="6" t="str">
        <f>IFERROR(VLOOKUP(ROWS($AD$2:AD125),$AA$2:$AC$151,3,FALSE),"")</f>
        <v/>
      </c>
      <c r="AG125" s="7">
        <f>IF(ISNUMBER(SEARCH(#REF!,AH125)),MAX($AG$1:AG124)+1,0)</f>
        <v>0</v>
      </c>
      <c r="AH125" s="7" t="e">
        <f>#REF!</f>
        <v>#REF!</v>
      </c>
      <c r="AI125" s="7" t="e">
        <f>#REF!</f>
        <v>#REF!</v>
      </c>
      <c r="AJ125" s="8" t="str">
        <f>IFERROR(VLOOKUP(ROWS(AJ$2:AJ125),$AG$2:$AI$151,2,FALSE),"")</f>
        <v/>
      </c>
      <c r="AK125" s="8" t="str">
        <f>IFERROR(VLOOKUP(ROWS($AJ$2:AJ125),$AG$2:$AI$151,3,FALSE),"")</f>
        <v/>
      </c>
      <c r="AM125" s="7">
        <f>IF(ISNUMBER(SEARCH(#REF!,AN125)),MAX($AM$1:AM124)+1,0)</f>
        <v>0</v>
      </c>
      <c r="AN125" s="7" t="e">
        <f>#REF!</f>
        <v>#REF!</v>
      </c>
      <c r="AO125" s="7" t="e">
        <f>#REF!</f>
        <v>#REF!</v>
      </c>
      <c r="AP125" s="8" t="str">
        <f>IFERROR(VLOOKUP(ROWS($AP$2:AP125),$AM$2:$AO$151,2,FALSE),"")</f>
        <v/>
      </c>
      <c r="AQ125" s="8" t="str">
        <f>IFERROR(VLOOKUP(ROWS($AP$2:AP125),$AM$2:$AO$151,3,FALSE),"")</f>
        <v/>
      </c>
      <c r="AS125" s="9">
        <f>IF(ISNUMBER(SEARCH(#REF!,AT125)),MAX($AS$1:AS124)+1,0)</f>
        <v>0</v>
      </c>
      <c r="AT125" s="9" t="e">
        <f>#REF!</f>
        <v>#REF!</v>
      </c>
      <c r="AU125" s="9" t="e">
        <f>#REF!</f>
        <v>#REF!</v>
      </c>
      <c r="AV125" s="10" t="str">
        <f>IFERROR(VLOOKUP(ROWS(AV$2:AV125),$AS$2:$AU$151,2,FALSE),"")</f>
        <v/>
      </c>
      <c r="AW125" s="10" t="str">
        <f>IFERROR(VLOOKUP(ROWS($AV$2:AV125),$AS$2:$AU$151,3,FALSE),"")</f>
        <v/>
      </c>
      <c r="AY125" s="9">
        <f>IF(ISNUMBER(SEARCH(#REF!,AZ125)),MAX($AY$1:AY124)+1,0)</f>
        <v>0</v>
      </c>
      <c r="AZ125" s="9" t="e">
        <f>#REF!</f>
        <v>#REF!</v>
      </c>
      <c r="BA125" s="9" t="e">
        <f>#REF!</f>
        <v>#REF!</v>
      </c>
      <c r="BB125" s="10" t="str">
        <f>IFERROR(VLOOKUP(ROWS($BB$2:BB125),$AY$2:$BA$151,2,FALSE),"")</f>
        <v/>
      </c>
      <c r="BC125" s="10" t="str">
        <f>IFERROR(VLOOKUP(ROWS($BB$2:BB125),$AY$2:$BA$151,3,FALSE),"")</f>
        <v/>
      </c>
    </row>
    <row r="126" spans="3:55" x14ac:dyDescent="0.25">
      <c r="C126" s="3">
        <f>IF(ISNUMBER(SEARCH(#REF!,D126)),MAX($C$1:C125)+1,0)</f>
        <v>0</v>
      </c>
      <c r="D126" s="3" t="e">
        <f>#REF!</f>
        <v>#REF!</v>
      </c>
      <c r="E126" s="3" t="e">
        <f>#REF!</f>
        <v>#REF!</v>
      </c>
      <c r="F126" s="4" t="str">
        <f>IFERROR(VLOOKUP(ROWS($F$2:F126),$C$2:$E$151,2,FALSE),"")</f>
        <v/>
      </c>
      <c r="G126" s="4" t="str">
        <f>IFERROR(VLOOKUP(ROWS($F$2:F126),$C$2:$E$151,3,FALSE),"")</f>
        <v/>
      </c>
      <c r="I126" s="3">
        <f>IF(ISNUMBER(SEARCH(#REF!,J126)),MAX($I$1:I125)+1,0)</f>
        <v>0</v>
      </c>
      <c r="J126" s="3" t="e">
        <f>#REF!</f>
        <v>#REF!</v>
      </c>
      <c r="K126" s="3" t="e">
        <f>#REF!</f>
        <v>#REF!</v>
      </c>
      <c r="L126" s="4" t="str">
        <f>IFERROR(VLOOKUP(ROWS($L$2:L126),$I$2:$K$151,2,FALSE),"")</f>
        <v/>
      </c>
      <c r="M126" s="4" t="str">
        <f>IFERROR(VLOOKUP(ROWS($L$2:L126),$I$2:$K$151,3,FALSE),"")</f>
        <v/>
      </c>
      <c r="O126" s="3">
        <f>IF(ISNUMBER(SEARCH(#REF!,P126)),MAX($O$1:O125)+1,0)</f>
        <v>0</v>
      </c>
      <c r="P126" s="3" t="e">
        <f>#REF!</f>
        <v>#REF!</v>
      </c>
      <c r="Q126" s="3" t="e">
        <f>#REF!</f>
        <v>#REF!</v>
      </c>
      <c r="R126" s="4" t="str">
        <f>IFERROR(VLOOKUP(ROWS($R$2:R126),$O$2:$Q$151,2,FALSE),"")</f>
        <v/>
      </c>
      <c r="S126" s="4" t="str">
        <f>IFERROR(VLOOKUP(ROWS($R$2:R126),$O$2:$Q$151,3,FALSE),"")</f>
        <v/>
      </c>
      <c r="U126" s="5">
        <f>IF(ISNUMBER(SEARCH(#REF!,V126)),MAX($U$1:U125)+1,0)</f>
        <v>0</v>
      </c>
      <c r="V126" s="5" t="e">
        <f>#REF!</f>
        <v>#REF!</v>
      </c>
      <c r="W126" s="5" t="e">
        <f>#REF!</f>
        <v>#REF!</v>
      </c>
      <c r="X126" s="6" t="str">
        <f>IFERROR(VLOOKUP(ROWS($X$2:X126),$U$2:$W$151,2,FALSE),"")</f>
        <v/>
      </c>
      <c r="Y126" s="6" t="str">
        <f>IFERROR(VLOOKUP(ROWS($X$2:X126),$U$2:$W$151,3,FALSE),"")</f>
        <v/>
      </c>
      <c r="AA126" s="5">
        <f>IF(ISNUMBER(SEARCH(#REF!,AB126)),MAX($AA$1:AA125)+1,0)</f>
        <v>0</v>
      </c>
      <c r="AB126" s="5" t="e">
        <f>#REF!</f>
        <v>#REF!</v>
      </c>
      <c r="AC126" s="5" t="e">
        <f>#REF!</f>
        <v>#REF!</v>
      </c>
      <c r="AD126" s="6" t="str">
        <f>IFERROR(VLOOKUP(ROWS($AD$2:AD126),$AA$2:$AC$151,2,FALSE),"")</f>
        <v/>
      </c>
      <c r="AE126" s="6" t="str">
        <f>IFERROR(VLOOKUP(ROWS($AD$2:AD126),$AA$2:$AC$151,3,FALSE),"")</f>
        <v/>
      </c>
      <c r="AG126" s="7">
        <f>IF(ISNUMBER(SEARCH(#REF!,AH126)),MAX($AG$1:AG125)+1,0)</f>
        <v>0</v>
      </c>
      <c r="AH126" s="7" t="e">
        <f>#REF!</f>
        <v>#REF!</v>
      </c>
      <c r="AI126" s="7" t="e">
        <f>#REF!</f>
        <v>#REF!</v>
      </c>
      <c r="AJ126" s="8" t="str">
        <f>IFERROR(VLOOKUP(ROWS(AJ$2:AJ126),$AG$2:$AI$151,2,FALSE),"")</f>
        <v/>
      </c>
      <c r="AK126" s="8" t="str">
        <f>IFERROR(VLOOKUP(ROWS($AJ$2:AJ126),$AG$2:$AI$151,3,FALSE),"")</f>
        <v/>
      </c>
      <c r="AM126" s="7">
        <f>IF(ISNUMBER(SEARCH(#REF!,AN126)),MAX($AM$1:AM125)+1,0)</f>
        <v>0</v>
      </c>
      <c r="AN126" s="7" t="e">
        <f>#REF!</f>
        <v>#REF!</v>
      </c>
      <c r="AO126" s="7" t="e">
        <f>#REF!</f>
        <v>#REF!</v>
      </c>
      <c r="AP126" s="8" t="str">
        <f>IFERROR(VLOOKUP(ROWS($AP$2:AP126),$AM$2:$AO$151,2,FALSE),"")</f>
        <v/>
      </c>
      <c r="AQ126" s="8" t="str">
        <f>IFERROR(VLOOKUP(ROWS($AP$2:AP126),$AM$2:$AO$151,3,FALSE),"")</f>
        <v/>
      </c>
      <c r="AS126" s="9">
        <f>IF(ISNUMBER(SEARCH(#REF!,AT126)),MAX($AS$1:AS125)+1,0)</f>
        <v>0</v>
      </c>
      <c r="AT126" s="9" t="e">
        <f>#REF!</f>
        <v>#REF!</v>
      </c>
      <c r="AU126" s="9" t="e">
        <f>#REF!</f>
        <v>#REF!</v>
      </c>
      <c r="AV126" s="10" t="str">
        <f>IFERROR(VLOOKUP(ROWS(AV$2:AV126),$AS$2:$AU$151,2,FALSE),"")</f>
        <v/>
      </c>
      <c r="AW126" s="10" t="str">
        <f>IFERROR(VLOOKUP(ROWS($AV$2:AV126),$AS$2:$AU$151,3,FALSE),"")</f>
        <v/>
      </c>
      <c r="AY126" s="9">
        <f>IF(ISNUMBER(SEARCH(#REF!,AZ126)),MAX($AY$1:AY125)+1,0)</f>
        <v>0</v>
      </c>
      <c r="AZ126" s="9" t="e">
        <f>#REF!</f>
        <v>#REF!</v>
      </c>
      <c r="BA126" s="9" t="e">
        <f>#REF!</f>
        <v>#REF!</v>
      </c>
      <c r="BB126" s="10" t="str">
        <f>IFERROR(VLOOKUP(ROWS($BB$2:BB126),$AY$2:$BA$151,2,FALSE),"")</f>
        <v/>
      </c>
      <c r="BC126" s="10" t="str">
        <f>IFERROR(VLOOKUP(ROWS($BB$2:BB126),$AY$2:$BA$151,3,FALSE),"")</f>
        <v/>
      </c>
    </row>
    <row r="127" spans="3:55" x14ac:dyDescent="0.25">
      <c r="C127" s="3">
        <f>IF(ISNUMBER(SEARCH(#REF!,D127)),MAX($C$1:C126)+1,0)</f>
        <v>0</v>
      </c>
      <c r="D127" s="3" t="e">
        <f>#REF!</f>
        <v>#REF!</v>
      </c>
      <c r="E127" s="3" t="e">
        <f>#REF!</f>
        <v>#REF!</v>
      </c>
      <c r="F127" s="4" t="str">
        <f>IFERROR(VLOOKUP(ROWS($F$2:F127),$C$2:$E$151,2,FALSE),"")</f>
        <v/>
      </c>
      <c r="G127" s="4" t="str">
        <f>IFERROR(VLOOKUP(ROWS($F$2:F127),$C$2:$E$151,3,FALSE),"")</f>
        <v/>
      </c>
      <c r="I127" s="3">
        <f>IF(ISNUMBER(SEARCH(#REF!,J127)),MAX($I$1:I126)+1,0)</f>
        <v>0</v>
      </c>
      <c r="J127" s="3" t="e">
        <f>#REF!</f>
        <v>#REF!</v>
      </c>
      <c r="K127" s="3" t="e">
        <f>#REF!</f>
        <v>#REF!</v>
      </c>
      <c r="L127" s="4" t="str">
        <f>IFERROR(VLOOKUP(ROWS($L$2:L127),$I$2:$K$151,2,FALSE),"")</f>
        <v/>
      </c>
      <c r="M127" s="4" t="str">
        <f>IFERROR(VLOOKUP(ROWS($L$2:L127),$I$2:$K$151,3,FALSE),"")</f>
        <v/>
      </c>
      <c r="O127" s="3">
        <f>IF(ISNUMBER(SEARCH(#REF!,P127)),MAX($O$1:O126)+1,0)</f>
        <v>0</v>
      </c>
      <c r="P127" s="3" t="e">
        <f>#REF!</f>
        <v>#REF!</v>
      </c>
      <c r="Q127" s="3" t="e">
        <f>#REF!</f>
        <v>#REF!</v>
      </c>
      <c r="R127" s="4" t="str">
        <f>IFERROR(VLOOKUP(ROWS($R$2:R127),$O$2:$Q$151,2,FALSE),"")</f>
        <v/>
      </c>
      <c r="S127" s="4" t="str">
        <f>IFERROR(VLOOKUP(ROWS($R$2:R127),$O$2:$Q$151,3,FALSE),"")</f>
        <v/>
      </c>
      <c r="U127" s="5">
        <f>IF(ISNUMBER(SEARCH(#REF!,V127)),MAX($U$1:U126)+1,0)</f>
        <v>0</v>
      </c>
      <c r="V127" s="5" t="e">
        <f>#REF!</f>
        <v>#REF!</v>
      </c>
      <c r="W127" s="5" t="e">
        <f>#REF!</f>
        <v>#REF!</v>
      </c>
      <c r="X127" s="6" t="str">
        <f>IFERROR(VLOOKUP(ROWS($X$2:X127),$U$2:$W$151,2,FALSE),"")</f>
        <v/>
      </c>
      <c r="Y127" s="6" t="str">
        <f>IFERROR(VLOOKUP(ROWS($X$2:X127),$U$2:$W$151,3,FALSE),"")</f>
        <v/>
      </c>
      <c r="AA127" s="5">
        <f>IF(ISNUMBER(SEARCH(#REF!,AB127)),MAX($AA$1:AA126)+1,0)</f>
        <v>0</v>
      </c>
      <c r="AB127" s="5" t="e">
        <f>#REF!</f>
        <v>#REF!</v>
      </c>
      <c r="AC127" s="5" t="e">
        <f>#REF!</f>
        <v>#REF!</v>
      </c>
      <c r="AD127" s="6" t="str">
        <f>IFERROR(VLOOKUP(ROWS($AD$2:AD127),$AA$2:$AC$151,2,FALSE),"")</f>
        <v/>
      </c>
      <c r="AE127" s="6" t="str">
        <f>IFERROR(VLOOKUP(ROWS($AD$2:AD127),$AA$2:$AC$151,3,FALSE),"")</f>
        <v/>
      </c>
      <c r="AG127" s="7">
        <f>IF(ISNUMBER(SEARCH(#REF!,AH127)),MAX($AG$1:AG126)+1,0)</f>
        <v>0</v>
      </c>
      <c r="AH127" s="7" t="e">
        <f>#REF!</f>
        <v>#REF!</v>
      </c>
      <c r="AI127" s="7" t="e">
        <f>#REF!</f>
        <v>#REF!</v>
      </c>
      <c r="AJ127" s="8" t="str">
        <f>IFERROR(VLOOKUP(ROWS(AJ$2:AJ127),$AG$2:$AI$151,2,FALSE),"")</f>
        <v/>
      </c>
      <c r="AK127" s="8" t="str">
        <f>IFERROR(VLOOKUP(ROWS($AJ$2:AJ127),$AG$2:$AI$151,3,FALSE),"")</f>
        <v/>
      </c>
      <c r="AM127" s="7">
        <f>IF(ISNUMBER(SEARCH(#REF!,AN127)),MAX($AM$1:AM126)+1,0)</f>
        <v>0</v>
      </c>
      <c r="AN127" s="7" t="e">
        <f>#REF!</f>
        <v>#REF!</v>
      </c>
      <c r="AO127" s="7" t="e">
        <f>#REF!</f>
        <v>#REF!</v>
      </c>
      <c r="AP127" s="8" t="str">
        <f>IFERROR(VLOOKUP(ROWS($AP$2:AP127),$AM$2:$AO$151,2,FALSE),"")</f>
        <v/>
      </c>
      <c r="AQ127" s="8" t="str">
        <f>IFERROR(VLOOKUP(ROWS($AP$2:AP127),$AM$2:$AO$151,3,FALSE),"")</f>
        <v/>
      </c>
      <c r="AS127" s="9">
        <f>IF(ISNUMBER(SEARCH(#REF!,AT127)),MAX($AS$1:AS126)+1,0)</f>
        <v>0</v>
      </c>
      <c r="AT127" s="9" t="e">
        <f>#REF!</f>
        <v>#REF!</v>
      </c>
      <c r="AU127" s="9" t="e">
        <f>#REF!</f>
        <v>#REF!</v>
      </c>
      <c r="AV127" s="10" t="str">
        <f>IFERROR(VLOOKUP(ROWS(AV$2:AV127),$AS$2:$AU$151,2,FALSE),"")</f>
        <v/>
      </c>
      <c r="AW127" s="10" t="str">
        <f>IFERROR(VLOOKUP(ROWS($AV$2:AV127),$AS$2:$AU$151,3,FALSE),"")</f>
        <v/>
      </c>
      <c r="AY127" s="9">
        <f>IF(ISNUMBER(SEARCH(#REF!,AZ127)),MAX($AY$1:AY126)+1,0)</f>
        <v>0</v>
      </c>
      <c r="AZ127" s="9" t="e">
        <f>#REF!</f>
        <v>#REF!</v>
      </c>
      <c r="BA127" s="9" t="e">
        <f>#REF!</f>
        <v>#REF!</v>
      </c>
      <c r="BB127" s="10" t="str">
        <f>IFERROR(VLOOKUP(ROWS($BB$2:BB127),$AY$2:$BA$151,2,FALSE),"")</f>
        <v/>
      </c>
      <c r="BC127" s="10" t="str">
        <f>IFERROR(VLOOKUP(ROWS($BB$2:BB127),$AY$2:$BA$151,3,FALSE),"")</f>
        <v/>
      </c>
    </row>
    <row r="128" spans="3:55" x14ac:dyDescent="0.25">
      <c r="C128" s="3">
        <f>IF(ISNUMBER(SEARCH(#REF!,D128)),MAX($C$1:C127)+1,0)</f>
        <v>0</v>
      </c>
      <c r="D128" s="3" t="e">
        <f>#REF!</f>
        <v>#REF!</v>
      </c>
      <c r="E128" s="3" t="e">
        <f>#REF!</f>
        <v>#REF!</v>
      </c>
      <c r="F128" s="4" t="str">
        <f>IFERROR(VLOOKUP(ROWS($F$2:F128),$C$2:$E$151,2,FALSE),"")</f>
        <v/>
      </c>
      <c r="G128" s="4" t="str">
        <f>IFERROR(VLOOKUP(ROWS($F$2:F128),$C$2:$E$151,3,FALSE),"")</f>
        <v/>
      </c>
      <c r="I128" s="3">
        <f>IF(ISNUMBER(SEARCH(#REF!,J128)),MAX($I$1:I127)+1,0)</f>
        <v>0</v>
      </c>
      <c r="J128" s="3" t="e">
        <f>#REF!</f>
        <v>#REF!</v>
      </c>
      <c r="K128" s="3" t="e">
        <f>#REF!</f>
        <v>#REF!</v>
      </c>
      <c r="L128" s="4" t="str">
        <f>IFERROR(VLOOKUP(ROWS($L$2:L128),$I$2:$K$151,2,FALSE),"")</f>
        <v/>
      </c>
      <c r="M128" s="4" t="str">
        <f>IFERROR(VLOOKUP(ROWS($L$2:L128),$I$2:$K$151,3,FALSE),"")</f>
        <v/>
      </c>
      <c r="O128" s="3">
        <f>IF(ISNUMBER(SEARCH(#REF!,P128)),MAX($O$1:O127)+1,0)</f>
        <v>0</v>
      </c>
      <c r="P128" s="3" t="e">
        <f>#REF!</f>
        <v>#REF!</v>
      </c>
      <c r="Q128" s="3" t="e">
        <f>#REF!</f>
        <v>#REF!</v>
      </c>
      <c r="R128" s="4" t="str">
        <f>IFERROR(VLOOKUP(ROWS($R$2:R128),$O$2:$Q$151,2,FALSE),"")</f>
        <v/>
      </c>
      <c r="S128" s="4" t="str">
        <f>IFERROR(VLOOKUP(ROWS($R$2:R128),$O$2:$Q$151,3,FALSE),"")</f>
        <v/>
      </c>
      <c r="U128" s="5">
        <f>IF(ISNUMBER(SEARCH(#REF!,V128)),MAX($U$1:U127)+1,0)</f>
        <v>0</v>
      </c>
      <c r="V128" s="5" t="e">
        <f>#REF!</f>
        <v>#REF!</v>
      </c>
      <c r="W128" s="5" t="e">
        <f>#REF!</f>
        <v>#REF!</v>
      </c>
      <c r="X128" s="6" t="str">
        <f>IFERROR(VLOOKUP(ROWS($X$2:X128),$U$2:$W$151,2,FALSE),"")</f>
        <v/>
      </c>
      <c r="Y128" s="6" t="str">
        <f>IFERROR(VLOOKUP(ROWS($X$2:X128),$U$2:$W$151,3,FALSE),"")</f>
        <v/>
      </c>
      <c r="AA128" s="5">
        <f>IF(ISNUMBER(SEARCH(#REF!,AB128)),MAX($AA$1:AA127)+1,0)</f>
        <v>0</v>
      </c>
      <c r="AB128" s="5" t="e">
        <f>#REF!</f>
        <v>#REF!</v>
      </c>
      <c r="AC128" s="5" t="e">
        <f>#REF!</f>
        <v>#REF!</v>
      </c>
      <c r="AD128" s="6" t="str">
        <f>IFERROR(VLOOKUP(ROWS($AD$2:AD128),$AA$2:$AC$151,2,FALSE),"")</f>
        <v/>
      </c>
      <c r="AE128" s="6" t="str">
        <f>IFERROR(VLOOKUP(ROWS($AD$2:AD128),$AA$2:$AC$151,3,FALSE),"")</f>
        <v/>
      </c>
      <c r="AG128" s="7">
        <f>IF(ISNUMBER(SEARCH(#REF!,AH128)),MAX($AG$1:AG127)+1,0)</f>
        <v>0</v>
      </c>
      <c r="AH128" s="7" t="e">
        <f>#REF!</f>
        <v>#REF!</v>
      </c>
      <c r="AI128" s="7" t="e">
        <f>#REF!</f>
        <v>#REF!</v>
      </c>
      <c r="AJ128" s="8" t="str">
        <f>IFERROR(VLOOKUP(ROWS(AJ$2:AJ128),$AG$2:$AI$151,2,FALSE),"")</f>
        <v/>
      </c>
      <c r="AK128" s="8" t="str">
        <f>IFERROR(VLOOKUP(ROWS($AJ$2:AJ128),$AG$2:$AI$151,3,FALSE),"")</f>
        <v/>
      </c>
      <c r="AM128" s="7">
        <f>IF(ISNUMBER(SEARCH(#REF!,AN128)),MAX($AM$1:AM127)+1,0)</f>
        <v>0</v>
      </c>
      <c r="AN128" s="7" t="e">
        <f>#REF!</f>
        <v>#REF!</v>
      </c>
      <c r="AO128" s="7" t="e">
        <f>#REF!</f>
        <v>#REF!</v>
      </c>
      <c r="AP128" s="8" t="str">
        <f>IFERROR(VLOOKUP(ROWS($AP$2:AP128),$AM$2:$AO$151,2,FALSE),"")</f>
        <v/>
      </c>
      <c r="AQ128" s="8" t="str">
        <f>IFERROR(VLOOKUP(ROWS($AP$2:AP128),$AM$2:$AO$151,3,FALSE),"")</f>
        <v/>
      </c>
      <c r="AS128" s="9">
        <f>IF(ISNUMBER(SEARCH(#REF!,AT128)),MAX($AS$1:AS127)+1,0)</f>
        <v>0</v>
      </c>
      <c r="AT128" s="9" t="e">
        <f>#REF!</f>
        <v>#REF!</v>
      </c>
      <c r="AU128" s="9" t="e">
        <f>#REF!</f>
        <v>#REF!</v>
      </c>
      <c r="AV128" s="10" t="str">
        <f>IFERROR(VLOOKUP(ROWS(AV$2:AV128),$AS$2:$AU$151,2,FALSE),"")</f>
        <v/>
      </c>
      <c r="AW128" s="10" t="str">
        <f>IFERROR(VLOOKUP(ROWS($AV$2:AV128),$AS$2:$AU$151,3,FALSE),"")</f>
        <v/>
      </c>
      <c r="AY128" s="9">
        <f>IF(ISNUMBER(SEARCH(#REF!,AZ128)),MAX($AY$1:AY127)+1,0)</f>
        <v>0</v>
      </c>
      <c r="AZ128" s="9" t="e">
        <f>#REF!</f>
        <v>#REF!</v>
      </c>
      <c r="BA128" s="9" t="e">
        <f>#REF!</f>
        <v>#REF!</v>
      </c>
      <c r="BB128" s="10" t="str">
        <f>IFERROR(VLOOKUP(ROWS($BB$2:BB128),$AY$2:$BA$151,2,FALSE),"")</f>
        <v/>
      </c>
      <c r="BC128" s="10" t="str">
        <f>IFERROR(VLOOKUP(ROWS($BB$2:BB128),$AY$2:$BA$151,3,FALSE),"")</f>
        <v/>
      </c>
    </row>
    <row r="129" spans="3:55" x14ac:dyDescent="0.25">
      <c r="C129" s="3">
        <f>IF(ISNUMBER(SEARCH(#REF!,D129)),MAX($C$1:C128)+1,0)</f>
        <v>0</v>
      </c>
      <c r="D129" s="3" t="e">
        <f>#REF!</f>
        <v>#REF!</v>
      </c>
      <c r="E129" s="3" t="e">
        <f>#REF!</f>
        <v>#REF!</v>
      </c>
      <c r="F129" s="4" t="str">
        <f>IFERROR(VLOOKUP(ROWS($F$2:F129),$C$2:$E$151,2,FALSE),"")</f>
        <v/>
      </c>
      <c r="G129" s="4" t="str">
        <f>IFERROR(VLOOKUP(ROWS($F$2:F129),$C$2:$E$151,3,FALSE),"")</f>
        <v/>
      </c>
      <c r="I129" s="3">
        <f>IF(ISNUMBER(SEARCH(#REF!,J129)),MAX($I$1:I128)+1,0)</f>
        <v>0</v>
      </c>
      <c r="J129" s="3" t="e">
        <f>#REF!</f>
        <v>#REF!</v>
      </c>
      <c r="K129" s="3" t="e">
        <f>#REF!</f>
        <v>#REF!</v>
      </c>
      <c r="L129" s="4" t="str">
        <f>IFERROR(VLOOKUP(ROWS($L$2:L129),$I$2:$K$151,2,FALSE),"")</f>
        <v/>
      </c>
      <c r="M129" s="4" t="str">
        <f>IFERROR(VLOOKUP(ROWS($L$2:L129),$I$2:$K$151,3,FALSE),"")</f>
        <v/>
      </c>
      <c r="O129" s="3">
        <f>IF(ISNUMBER(SEARCH(#REF!,P129)),MAX($O$1:O128)+1,0)</f>
        <v>0</v>
      </c>
      <c r="P129" s="3" t="e">
        <f>#REF!</f>
        <v>#REF!</v>
      </c>
      <c r="Q129" s="3" t="e">
        <f>#REF!</f>
        <v>#REF!</v>
      </c>
      <c r="R129" s="4" t="str">
        <f>IFERROR(VLOOKUP(ROWS($R$2:R129),$O$2:$Q$151,2,FALSE),"")</f>
        <v/>
      </c>
      <c r="S129" s="4" t="str">
        <f>IFERROR(VLOOKUP(ROWS($R$2:R129),$O$2:$Q$151,3,FALSE),"")</f>
        <v/>
      </c>
      <c r="U129" s="5">
        <f>IF(ISNUMBER(SEARCH(#REF!,V129)),MAX($U$1:U128)+1,0)</f>
        <v>0</v>
      </c>
      <c r="V129" s="5" t="e">
        <f>#REF!</f>
        <v>#REF!</v>
      </c>
      <c r="W129" s="5" t="e">
        <f>#REF!</f>
        <v>#REF!</v>
      </c>
      <c r="X129" s="6" t="str">
        <f>IFERROR(VLOOKUP(ROWS($X$2:X129),$U$2:$W$151,2,FALSE),"")</f>
        <v/>
      </c>
      <c r="Y129" s="6" t="str">
        <f>IFERROR(VLOOKUP(ROWS($X$2:X129),$U$2:$W$151,3,FALSE),"")</f>
        <v/>
      </c>
      <c r="AA129" s="5">
        <f>IF(ISNUMBER(SEARCH(#REF!,AB129)),MAX($AA$1:AA128)+1,0)</f>
        <v>0</v>
      </c>
      <c r="AB129" s="5" t="e">
        <f>#REF!</f>
        <v>#REF!</v>
      </c>
      <c r="AC129" s="5" t="e">
        <f>#REF!</f>
        <v>#REF!</v>
      </c>
      <c r="AD129" s="6" t="str">
        <f>IFERROR(VLOOKUP(ROWS($AD$2:AD129),$AA$2:$AC$151,2,FALSE),"")</f>
        <v/>
      </c>
      <c r="AE129" s="6" t="str">
        <f>IFERROR(VLOOKUP(ROWS($AD$2:AD129),$AA$2:$AC$151,3,FALSE),"")</f>
        <v/>
      </c>
      <c r="AG129" s="7">
        <f>IF(ISNUMBER(SEARCH(#REF!,AH129)),MAX($AG$1:AG128)+1,0)</f>
        <v>0</v>
      </c>
      <c r="AH129" s="7" t="e">
        <f>#REF!</f>
        <v>#REF!</v>
      </c>
      <c r="AI129" s="7" t="e">
        <f>#REF!</f>
        <v>#REF!</v>
      </c>
      <c r="AJ129" s="8" t="str">
        <f>IFERROR(VLOOKUP(ROWS(AJ$2:AJ129),$AG$2:$AI$151,2,FALSE),"")</f>
        <v/>
      </c>
      <c r="AK129" s="8" t="str">
        <f>IFERROR(VLOOKUP(ROWS($AJ$2:AJ129),$AG$2:$AI$151,3,FALSE),"")</f>
        <v/>
      </c>
      <c r="AM129" s="7">
        <f>IF(ISNUMBER(SEARCH(#REF!,AN129)),MAX($AM$1:AM128)+1,0)</f>
        <v>0</v>
      </c>
      <c r="AN129" s="7" t="e">
        <f>#REF!</f>
        <v>#REF!</v>
      </c>
      <c r="AO129" s="7" t="e">
        <f>#REF!</f>
        <v>#REF!</v>
      </c>
      <c r="AP129" s="8" t="str">
        <f>IFERROR(VLOOKUP(ROWS($AP$2:AP129),$AM$2:$AO$151,2,FALSE),"")</f>
        <v/>
      </c>
      <c r="AQ129" s="8" t="str">
        <f>IFERROR(VLOOKUP(ROWS($AP$2:AP129),$AM$2:$AO$151,3,FALSE),"")</f>
        <v/>
      </c>
      <c r="AS129" s="9">
        <f>IF(ISNUMBER(SEARCH(#REF!,AT129)),MAX($AS$1:AS128)+1,0)</f>
        <v>0</v>
      </c>
      <c r="AT129" s="9" t="e">
        <f>#REF!</f>
        <v>#REF!</v>
      </c>
      <c r="AU129" s="9" t="e">
        <f>#REF!</f>
        <v>#REF!</v>
      </c>
      <c r="AV129" s="10" t="str">
        <f>IFERROR(VLOOKUP(ROWS(AV$2:AV129),$AS$2:$AU$151,2,FALSE),"")</f>
        <v/>
      </c>
      <c r="AW129" s="10" t="str">
        <f>IFERROR(VLOOKUP(ROWS($AV$2:AV129),$AS$2:$AU$151,3,FALSE),"")</f>
        <v/>
      </c>
      <c r="AY129" s="9">
        <f>IF(ISNUMBER(SEARCH(#REF!,AZ129)),MAX($AY$1:AY128)+1,0)</f>
        <v>0</v>
      </c>
      <c r="AZ129" s="9" t="e">
        <f>#REF!</f>
        <v>#REF!</v>
      </c>
      <c r="BA129" s="9" t="e">
        <f>#REF!</f>
        <v>#REF!</v>
      </c>
      <c r="BB129" s="10" t="str">
        <f>IFERROR(VLOOKUP(ROWS($BB$2:BB129),$AY$2:$BA$151,2,FALSE),"")</f>
        <v/>
      </c>
      <c r="BC129" s="10" t="str">
        <f>IFERROR(VLOOKUP(ROWS($BB$2:BB129),$AY$2:$BA$151,3,FALSE),"")</f>
        <v/>
      </c>
    </row>
    <row r="130" spans="3:55" x14ac:dyDescent="0.25">
      <c r="C130" s="3">
        <f>IF(ISNUMBER(SEARCH(#REF!,D130)),MAX($C$1:C129)+1,0)</f>
        <v>0</v>
      </c>
      <c r="D130" s="3" t="e">
        <f>#REF!</f>
        <v>#REF!</v>
      </c>
      <c r="E130" s="3" t="e">
        <f>#REF!</f>
        <v>#REF!</v>
      </c>
      <c r="F130" s="4" t="str">
        <f>IFERROR(VLOOKUP(ROWS($F$2:F130),$C$2:$E$151,2,FALSE),"")</f>
        <v/>
      </c>
      <c r="G130" s="4" t="str">
        <f>IFERROR(VLOOKUP(ROWS($F$2:F130),$C$2:$E$151,3,FALSE),"")</f>
        <v/>
      </c>
      <c r="I130" s="3">
        <f>IF(ISNUMBER(SEARCH(#REF!,J130)),MAX($I$1:I129)+1,0)</f>
        <v>0</v>
      </c>
      <c r="J130" s="3" t="e">
        <f>#REF!</f>
        <v>#REF!</v>
      </c>
      <c r="K130" s="3" t="e">
        <f>#REF!</f>
        <v>#REF!</v>
      </c>
      <c r="L130" s="4" t="str">
        <f>IFERROR(VLOOKUP(ROWS($L$2:L130),$I$2:$K$151,2,FALSE),"")</f>
        <v/>
      </c>
      <c r="M130" s="4" t="str">
        <f>IFERROR(VLOOKUP(ROWS($L$2:L130),$I$2:$K$151,3,FALSE),"")</f>
        <v/>
      </c>
      <c r="O130" s="3">
        <f>IF(ISNUMBER(SEARCH(#REF!,P130)),MAX($O$1:O129)+1,0)</f>
        <v>0</v>
      </c>
      <c r="P130" s="3" t="e">
        <f>#REF!</f>
        <v>#REF!</v>
      </c>
      <c r="Q130" s="3" t="e">
        <f>#REF!</f>
        <v>#REF!</v>
      </c>
      <c r="R130" s="4" t="str">
        <f>IFERROR(VLOOKUP(ROWS($R$2:R130),$O$2:$Q$151,2,FALSE),"")</f>
        <v/>
      </c>
      <c r="S130" s="4" t="str">
        <f>IFERROR(VLOOKUP(ROWS($R$2:R130),$O$2:$Q$151,3,FALSE),"")</f>
        <v/>
      </c>
      <c r="U130" s="5">
        <f>IF(ISNUMBER(SEARCH(#REF!,V130)),MAX($U$1:U129)+1,0)</f>
        <v>0</v>
      </c>
      <c r="V130" s="5" t="e">
        <f>#REF!</f>
        <v>#REF!</v>
      </c>
      <c r="W130" s="5" t="e">
        <f>#REF!</f>
        <v>#REF!</v>
      </c>
      <c r="X130" s="6" t="str">
        <f>IFERROR(VLOOKUP(ROWS($X$2:X130),$U$2:$W$151,2,FALSE),"")</f>
        <v/>
      </c>
      <c r="Y130" s="6" t="str">
        <f>IFERROR(VLOOKUP(ROWS($X$2:X130),$U$2:$W$151,3,FALSE),"")</f>
        <v/>
      </c>
      <c r="AA130" s="5">
        <f>IF(ISNUMBER(SEARCH(#REF!,AB130)),MAX($AA$1:AA129)+1,0)</f>
        <v>0</v>
      </c>
      <c r="AB130" s="5" t="e">
        <f>#REF!</f>
        <v>#REF!</v>
      </c>
      <c r="AC130" s="5" t="e">
        <f>#REF!</f>
        <v>#REF!</v>
      </c>
      <c r="AD130" s="6" t="str">
        <f>IFERROR(VLOOKUP(ROWS($AD$2:AD130),$AA$2:$AC$151,2,FALSE),"")</f>
        <v/>
      </c>
      <c r="AE130" s="6" t="str">
        <f>IFERROR(VLOOKUP(ROWS($AD$2:AD130),$AA$2:$AC$151,3,FALSE),"")</f>
        <v/>
      </c>
      <c r="AG130" s="7">
        <f>IF(ISNUMBER(SEARCH(#REF!,AH130)),MAX($AG$1:AG129)+1,0)</f>
        <v>0</v>
      </c>
      <c r="AH130" s="7" t="e">
        <f>#REF!</f>
        <v>#REF!</v>
      </c>
      <c r="AI130" s="7" t="e">
        <f>#REF!</f>
        <v>#REF!</v>
      </c>
      <c r="AJ130" s="8" t="str">
        <f>IFERROR(VLOOKUP(ROWS(AJ$2:AJ130),$AG$2:$AI$151,2,FALSE),"")</f>
        <v/>
      </c>
      <c r="AK130" s="8" t="str">
        <f>IFERROR(VLOOKUP(ROWS($AJ$2:AJ130),$AG$2:$AI$151,3,FALSE),"")</f>
        <v/>
      </c>
      <c r="AM130" s="7">
        <f>IF(ISNUMBER(SEARCH(#REF!,AN130)),MAX($AM$1:AM129)+1,0)</f>
        <v>0</v>
      </c>
      <c r="AN130" s="7" t="e">
        <f>#REF!</f>
        <v>#REF!</v>
      </c>
      <c r="AO130" s="7" t="e">
        <f>#REF!</f>
        <v>#REF!</v>
      </c>
      <c r="AP130" s="8" t="str">
        <f>IFERROR(VLOOKUP(ROWS($AP$2:AP130),$AM$2:$AO$151,2,FALSE),"")</f>
        <v/>
      </c>
      <c r="AQ130" s="8" t="str">
        <f>IFERROR(VLOOKUP(ROWS($AP$2:AP130),$AM$2:$AO$151,3,FALSE),"")</f>
        <v/>
      </c>
      <c r="AS130" s="9">
        <f>IF(ISNUMBER(SEARCH(#REF!,AT130)),MAX($AS$1:AS129)+1,0)</f>
        <v>0</v>
      </c>
      <c r="AT130" s="9" t="e">
        <f>#REF!</f>
        <v>#REF!</v>
      </c>
      <c r="AU130" s="9" t="e">
        <f>#REF!</f>
        <v>#REF!</v>
      </c>
      <c r="AV130" s="10" t="str">
        <f>IFERROR(VLOOKUP(ROWS(AV$2:AV130),$AS$2:$AU$151,2,FALSE),"")</f>
        <v/>
      </c>
      <c r="AW130" s="10" t="str">
        <f>IFERROR(VLOOKUP(ROWS($AV$2:AV130),$AS$2:$AU$151,3,FALSE),"")</f>
        <v/>
      </c>
      <c r="AY130" s="9">
        <f>IF(ISNUMBER(SEARCH(#REF!,AZ130)),MAX($AY$1:AY129)+1,0)</f>
        <v>0</v>
      </c>
      <c r="AZ130" s="9" t="e">
        <f>#REF!</f>
        <v>#REF!</v>
      </c>
      <c r="BA130" s="9" t="e">
        <f>#REF!</f>
        <v>#REF!</v>
      </c>
      <c r="BB130" s="10" t="str">
        <f>IFERROR(VLOOKUP(ROWS($BB$2:BB130),$AY$2:$BA$151,2,FALSE),"")</f>
        <v/>
      </c>
      <c r="BC130" s="10" t="str">
        <f>IFERROR(VLOOKUP(ROWS($BB$2:BB130),$AY$2:$BA$151,3,FALSE),"")</f>
        <v/>
      </c>
    </row>
    <row r="131" spans="3:55" x14ac:dyDescent="0.25">
      <c r="C131" s="3">
        <f>IF(ISNUMBER(SEARCH(#REF!,D131)),MAX($C$1:C130)+1,0)</f>
        <v>0</v>
      </c>
      <c r="D131" s="3" t="e">
        <f>#REF!</f>
        <v>#REF!</v>
      </c>
      <c r="E131" s="3" t="e">
        <f>#REF!</f>
        <v>#REF!</v>
      </c>
      <c r="F131" s="4" t="str">
        <f>IFERROR(VLOOKUP(ROWS($F$2:F131),$C$2:$E$151,2,FALSE),"")</f>
        <v/>
      </c>
      <c r="G131" s="4" t="str">
        <f>IFERROR(VLOOKUP(ROWS($F$2:F131),$C$2:$E$151,3,FALSE),"")</f>
        <v/>
      </c>
      <c r="I131" s="3">
        <f>IF(ISNUMBER(SEARCH(#REF!,J131)),MAX($I$1:I130)+1,0)</f>
        <v>0</v>
      </c>
      <c r="J131" s="3" t="e">
        <f>#REF!</f>
        <v>#REF!</v>
      </c>
      <c r="K131" s="3" t="e">
        <f>#REF!</f>
        <v>#REF!</v>
      </c>
      <c r="L131" s="4" t="str">
        <f>IFERROR(VLOOKUP(ROWS($L$2:L131),$I$2:$K$151,2,FALSE),"")</f>
        <v/>
      </c>
      <c r="M131" s="4" t="str">
        <f>IFERROR(VLOOKUP(ROWS($L$2:L131),$I$2:$K$151,3,FALSE),"")</f>
        <v/>
      </c>
      <c r="O131" s="3">
        <f>IF(ISNUMBER(SEARCH(#REF!,P131)),MAX($O$1:O130)+1,0)</f>
        <v>0</v>
      </c>
      <c r="P131" s="3" t="e">
        <f>#REF!</f>
        <v>#REF!</v>
      </c>
      <c r="Q131" s="3" t="e">
        <f>#REF!</f>
        <v>#REF!</v>
      </c>
      <c r="R131" s="4" t="str">
        <f>IFERROR(VLOOKUP(ROWS($R$2:R131),$O$2:$Q$151,2,FALSE),"")</f>
        <v/>
      </c>
      <c r="S131" s="4" t="str">
        <f>IFERROR(VLOOKUP(ROWS($R$2:R131),$O$2:$Q$151,3,FALSE),"")</f>
        <v/>
      </c>
      <c r="U131" s="5">
        <f>IF(ISNUMBER(SEARCH(#REF!,V131)),MAX($U$1:U130)+1,0)</f>
        <v>0</v>
      </c>
      <c r="V131" s="5" t="e">
        <f>#REF!</f>
        <v>#REF!</v>
      </c>
      <c r="W131" s="5" t="e">
        <f>#REF!</f>
        <v>#REF!</v>
      </c>
      <c r="X131" s="6" t="str">
        <f>IFERROR(VLOOKUP(ROWS($X$2:X131),$U$2:$W$151,2,FALSE),"")</f>
        <v/>
      </c>
      <c r="Y131" s="6" t="str">
        <f>IFERROR(VLOOKUP(ROWS($X$2:X131),$U$2:$W$151,3,FALSE),"")</f>
        <v/>
      </c>
      <c r="AA131" s="5">
        <f>IF(ISNUMBER(SEARCH(#REF!,AB131)),MAX($AA$1:AA130)+1,0)</f>
        <v>0</v>
      </c>
      <c r="AB131" s="5" t="e">
        <f>#REF!</f>
        <v>#REF!</v>
      </c>
      <c r="AC131" s="5" t="e">
        <f>#REF!</f>
        <v>#REF!</v>
      </c>
      <c r="AD131" s="6" t="str">
        <f>IFERROR(VLOOKUP(ROWS($AD$2:AD131),$AA$2:$AC$151,2,FALSE),"")</f>
        <v/>
      </c>
      <c r="AE131" s="6" t="str">
        <f>IFERROR(VLOOKUP(ROWS($AD$2:AD131),$AA$2:$AC$151,3,FALSE),"")</f>
        <v/>
      </c>
      <c r="AG131" s="7">
        <f>IF(ISNUMBER(SEARCH(#REF!,AH131)),MAX($AG$1:AG130)+1,0)</f>
        <v>0</v>
      </c>
      <c r="AH131" s="7" t="e">
        <f>#REF!</f>
        <v>#REF!</v>
      </c>
      <c r="AI131" s="7" t="e">
        <f>#REF!</f>
        <v>#REF!</v>
      </c>
      <c r="AJ131" s="8" t="str">
        <f>IFERROR(VLOOKUP(ROWS(AJ$2:AJ131),$AG$2:$AI$151,2,FALSE),"")</f>
        <v/>
      </c>
      <c r="AK131" s="8" t="str">
        <f>IFERROR(VLOOKUP(ROWS($AJ$2:AJ131),$AG$2:$AI$151,3,FALSE),"")</f>
        <v/>
      </c>
      <c r="AM131" s="7">
        <f>IF(ISNUMBER(SEARCH(#REF!,AN131)),MAX($AM$1:AM130)+1,0)</f>
        <v>0</v>
      </c>
      <c r="AN131" s="7" t="e">
        <f>#REF!</f>
        <v>#REF!</v>
      </c>
      <c r="AO131" s="7" t="e">
        <f>#REF!</f>
        <v>#REF!</v>
      </c>
      <c r="AP131" s="8" t="str">
        <f>IFERROR(VLOOKUP(ROWS($AP$2:AP131),$AM$2:$AO$151,2,FALSE),"")</f>
        <v/>
      </c>
      <c r="AQ131" s="8" t="str">
        <f>IFERROR(VLOOKUP(ROWS($AP$2:AP131),$AM$2:$AO$151,3,FALSE),"")</f>
        <v/>
      </c>
      <c r="AS131" s="9">
        <f>IF(ISNUMBER(SEARCH(#REF!,AT131)),MAX($AS$1:AS130)+1,0)</f>
        <v>0</v>
      </c>
      <c r="AT131" s="9" t="e">
        <f>#REF!</f>
        <v>#REF!</v>
      </c>
      <c r="AU131" s="9" t="e">
        <f>#REF!</f>
        <v>#REF!</v>
      </c>
      <c r="AV131" s="10" t="str">
        <f>IFERROR(VLOOKUP(ROWS(AV$2:AV131),$AS$2:$AU$151,2,FALSE),"")</f>
        <v/>
      </c>
      <c r="AW131" s="10" t="str">
        <f>IFERROR(VLOOKUP(ROWS($AV$2:AV131),$AS$2:$AU$151,3,FALSE),"")</f>
        <v/>
      </c>
      <c r="AY131" s="9">
        <f>IF(ISNUMBER(SEARCH(#REF!,AZ131)),MAX($AY$1:AY130)+1,0)</f>
        <v>0</v>
      </c>
      <c r="AZ131" s="9" t="e">
        <f>#REF!</f>
        <v>#REF!</v>
      </c>
      <c r="BA131" s="9" t="e">
        <f>#REF!</f>
        <v>#REF!</v>
      </c>
      <c r="BB131" s="10" t="str">
        <f>IFERROR(VLOOKUP(ROWS($BB$2:BB131),$AY$2:$BA$151,2,FALSE),"")</f>
        <v/>
      </c>
      <c r="BC131" s="10" t="str">
        <f>IFERROR(VLOOKUP(ROWS($BB$2:BB131),$AY$2:$BA$151,3,FALSE),"")</f>
        <v/>
      </c>
    </row>
    <row r="132" spans="3:55" x14ac:dyDescent="0.25">
      <c r="C132" s="3">
        <f>IF(ISNUMBER(SEARCH(#REF!,D132)),MAX($C$1:C131)+1,0)</f>
        <v>0</v>
      </c>
      <c r="D132" s="3" t="e">
        <f>#REF!</f>
        <v>#REF!</v>
      </c>
      <c r="E132" s="3" t="e">
        <f>#REF!</f>
        <v>#REF!</v>
      </c>
      <c r="F132" s="4" t="str">
        <f>IFERROR(VLOOKUP(ROWS($F$2:F132),$C$2:$E$151,2,FALSE),"")</f>
        <v/>
      </c>
      <c r="G132" s="4" t="str">
        <f>IFERROR(VLOOKUP(ROWS($F$2:F132),$C$2:$E$151,3,FALSE),"")</f>
        <v/>
      </c>
      <c r="I132" s="3">
        <f>IF(ISNUMBER(SEARCH(#REF!,J132)),MAX($I$1:I131)+1,0)</f>
        <v>0</v>
      </c>
      <c r="J132" s="3" t="e">
        <f>#REF!</f>
        <v>#REF!</v>
      </c>
      <c r="K132" s="3" t="e">
        <f>#REF!</f>
        <v>#REF!</v>
      </c>
      <c r="L132" s="4" t="str">
        <f>IFERROR(VLOOKUP(ROWS($L$2:L132),$I$2:$K$151,2,FALSE),"")</f>
        <v/>
      </c>
      <c r="M132" s="4" t="str">
        <f>IFERROR(VLOOKUP(ROWS($L$2:L132),$I$2:$K$151,3,FALSE),"")</f>
        <v/>
      </c>
      <c r="O132" s="3">
        <f>IF(ISNUMBER(SEARCH(#REF!,P132)),MAX($O$1:O131)+1,0)</f>
        <v>0</v>
      </c>
      <c r="P132" s="3" t="e">
        <f>#REF!</f>
        <v>#REF!</v>
      </c>
      <c r="Q132" s="3" t="e">
        <f>#REF!</f>
        <v>#REF!</v>
      </c>
      <c r="R132" s="4" t="str">
        <f>IFERROR(VLOOKUP(ROWS($R$2:R132),$O$2:$Q$151,2,FALSE),"")</f>
        <v/>
      </c>
      <c r="S132" s="4" t="str">
        <f>IFERROR(VLOOKUP(ROWS($R$2:R132),$O$2:$Q$151,3,FALSE),"")</f>
        <v/>
      </c>
      <c r="U132" s="5">
        <f>IF(ISNUMBER(SEARCH(#REF!,V132)),MAX($U$1:U131)+1,0)</f>
        <v>0</v>
      </c>
      <c r="V132" s="5" t="e">
        <f>#REF!</f>
        <v>#REF!</v>
      </c>
      <c r="W132" s="5" t="e">
        <f>#REF!</f>
        <v>#REF!</v>
      </c>
      <c r="X132" s="6" t="str">
        <f>IFERROR(VLOOKUP(ROWS($X$2:X132),$U$2:$W$151,2,FALSE),"")</f>
        <v/>
      </c>
      <c r="Y132" s="6" t="str">
        <f>IFERROR(VLOOKUP(ROWS($X$2:X132),$U$2:$W$151,3,FALSE),"")</f>
        <v/>
      </c>
      <c r="AA132" s="5">
        <f>IF(ISNUMBER(SEARCH(#REF!,AB132)),MAX($AA$1:AA131)+1,0)</f>
        <v>0</v>
      </c>
      <c r="AB132" s="5" t="e">
        <f>#REF!</f>
        <v>#REF!</v>
      </c>
      <c r="AC132" s="5" t="e">
        <f>#REF!</f>
        <v>#REF!</v>
      </c>
      <c r="AD132" s="6" t="str">
        <f>IFERROR(VLOOKUP(ROWS($AD$2:AD132),$AA$2:$AC$151,2,FALSE),"")</f>
        <v/>
      </c>
      <c r="AE132" s="6" t="str">
        <f>IFERROR(VLOOKUP(ROWS($AD$2:AD132),$AA$2:$AC$151,3,FALSE),"")</f>
        <v/>
      </c>
      <c r="AG132" s="7">
        <f>IF(ISNUMBER(SEARCH(#REF!,AH132)),MAX($AG$1:AG131)+1,0)</f>
        <v>0</v>
      </c>
      <c r="AH132" s="7" t="e">
        <f>#REF!</f>
        <v>#REF!</v>
      </c>
      <c r="AI132" s="7" t="e">
        <f>#REF!</f>
        <v>#REF!</v>
      </c>
      <c r="AJ132" s="8" t="str">
        <f>IFERROR(VLOOKUP(ROWS(AJ$2:AJ132),$AG$2:$AI$151,2,FALSE),"")</f>
        <v/>
      </c>
      <c r="AK132" s="8" t="str">
        <f>IFERROR(VLOOKUP(ROWS($AJ$2:AJ132),$AG$2:$AI$151,3,FALSE),"")</f>
        <v/>
      </c>
      <c r="AM132" s="7">
        <f>IF(ISNUMBER(SEARCH(#REF!,AN132)),MAX($AM$1:AM131)+1,0)</f>
        <v>0</v>
      </c>
      <c r="AN132" s="7" t="e">
        <f>#REF!</f>
        <v>#REF!</v>
      </c>
      <c r="AO132" s="7" t="e">
        <f>#REF!</f>
        <v>#REF!</v>
      </c>
      <c r="AP132" s="8" t="str">
        <f>IFERROR(VLOOKUP(ROWS($AP$2:AP132),$AM$2:$AO$151,2,FALSE),"")</f>
        <v/>
      </c>
      <c r="AQ132" s="8" t="str">
        <f>IFERROR(VLOOKUP(ROWS($AP$2:AP132),$AM$2:$AO$151,3,FALSE),"")</f>
        <v/>
      </c>
      <c r="AS132" s="9">
        <f>IF(ISNUMBER(SEARCH(#REF!,AT132)),MAX($AS$1:AS131)+1,0)</f>
        <v>0</v>
      </c>
      <c r="AT132" s="9" t="e">
        <f>#REF!</f>
        <v>#REF!</v>
      </c>
      <c r="AU132" s="9" t="e">
        <f>#REF!</f>
        <v>#REF!</v>
      </c>
      <c r="AV132" s="10" t="str">
        <f>IFERROR(VLOOKUP(ROWS(AV$2:AV132),$AS$2:$AU$151,2,FALSE),"")</f>
        <v/>
      </c>
      <c r="AW132" s="10" t="str">
        <f>IFERROR(VLOOKUP(ROWS($AV$2:AV132),$AS$2:$AU$151,3,FALSE),"")</f>
        <v/>
      </c>
      <c r="AY132" s="9">
        <f>IF(ISNUMBER(SEARCH(#REF!,AZ132)),MAX($AY$1:AY131)+1,0)</f>
        <v>0</v>
      </c>
      <c r="AZ132" s="9" t="e">
        <f>#REF!</f>
        <v>#REF!</v>
      </c>
      <c r="BA132" s="9" t="e">
        <f>#REF!</f>
        <v>#REF!</v>
      </c>
      <c r="BB132" s="10" t="str">
        <f>IFERROR(VLOOKUP(ROWS($BB$2:BB132),$AY$2:$BA$151,2,FALSE),"")</f>
        <v/>
      </c>
      <c r="BC132" s="10" t="str">
        <f>IFERROR(VLOOKUP(ROWS($BB$2:BB132),$AY$2:$BA$151,3,FALSE),"")</f>
        <v/>
      </c>
    </row>
    <row r="133" spans="3:55" x14ac:dyDescent="0.25">
      <c r="C133" s="3">
        <f>IF(ISNUMBER(SEARCH(#REF!,D133)),MAX($C$1:C132)+1,0)</f>
        <v>0</v>
      </c>
      <c r="D133" s="3" t="e">
        <f>#REF!</f>
        <v>#REF!</v>
      </c>
      <c r="E133" s="3" t="e">
        <f>#REF!</f>
        <v>#REF!</v>
      </c>
      <c r="F133" s="4" t="str">
        <f>IFERROR(VLOOKUP(ROWS($F$2:F133),$C$2:$E$151,2,FALSE),"")</f>
        <v/>
      </c>
      <c r="G133" s="4" t="str">
        <f>IFERROR(VLOOKUP(ROWS($F$2:F133),$C$2:$E$151,3,FALSE),"")</f>
        <v/>
      </c>
      <c r="I133" s="3">
        <f>IF(ISNUMBER(SEARCH(#REF!,J133)),MAX($I$1:I132)+1,0)</f>
        <v>0</v>
      </c>
      <c r="J133" s="3" t="e">
        <f>#REF!</f>
        <v>#REF!</v>
      </c>
      <c r="K133" s="3" t="e">
        <f>#REF!</f>
        <v>#REF!</v>
      </c>
      <c r="L133" s="4" t="str">
        <f>IFERROR(VLOOKUP(ROWS($L$2:L133),$I$2:$K$151,2,FALSE),"")</f>
        <v/>
      </c>
      <c r="M133" s="4" t="str">
        <f>IFERROR(VLOOKUP(ROWS($L$2:L133),$I$2:$K$151,3,FALSE),"")</f>
        <v/>
      </c>
      <c r="O133" s="3">
        <f>IF(ISNUMBER(SEARCH(#REF!,P133)),MAX($O$1:O132)+1,0)</f>
        <v>0</v>
      </c>
      <c r="P133" s="3" t="e">
        <f>#REF!</f>
        <v>#REF!</v>
      </c>
      <c r="Q133" s="3" t="e">
        <f>#REF!</f>
        <v>#REF!</v>
      </c>
      <c r="R133" s="4" t="str">
        <f>IFERROR(VLOOKUP(ROWS($R$2:R133),$O$2:$Q$151,2,FALSE),"")</f>
        <v/>
      </c>
      <c r="S133" s="4" t="str">
        <f>IFERROR(VLOOKUP(ROWS($R$2:R133),$O$2:$Q$151,3,FALSE),"")</f>
        <v/>
      </c>
      <c r="U133" s="5">
        <f>IF(ISNUMBER(SEARCH(#REF!,V133)),MAX($U$1:U132)+1,0)</f>
        <v>0</v>
      </c>
      <c r="V133" s="5" t="e">
        <f>#REF!</f>
        <v>#REF!</v>
      </c>
      <c r="W133" s="5" t="e">
        <f>#REF!</f>
        <v>#REF!</v>
      </c>
      <c r="X133" s="6" t="str">
        <f>IFERROR(VLOOKUP(ROWS($X$2:X133),$U$2:$W$151,2,FALSE),"")</f>
        <v/>
      </c>
      <c r="Y133" s="6" t="str">
        <f>IFERROR(VLOOKUP(ROWS($X$2:X133),$U$2:$W$151,3,FALSE),"")</f>
        <v/>
      </c>
      <c r="AA133" s="5">
        <f>IF(ISNUMBER(SEARCH(#REF!,AB133)),MAX($AA$1:AA132)+1,0)</f>
        <v>0</v>
      </c>
      <c r="AB133" s="5" t="e">
        <f>#REF!</f>
        <v>#REF!</v>
      </c>
      <c r="AC133" s="5" t="e">
        <f>#REF!</f>
        <v>#REF!</v>
      </c>
      <c r="AD133" s="6" t="str">
        <f>IFERROR(VLOOKUP(ROWS($AD$2:AD133),$AA$2:$AC$151,2,FALSE),"")</f>
        <v/>
      </c>
      <c r="AE133" s="6" t="str">
        <f>IFERROR(VLOOKUP(ROWS($AD$2:AD133),$AA$2:$AC$151,3,FALSE),"")</f>
        <v/>
      </c>
      <c r="AG133" s="7">
        <f>IF(ISNUMBER(SEARCH(#REF!,AH133)),MAX($AG$1:AG132)+1,0)</f>
        <v>0</v>
      </c>
      <c r="AH133" s="7" t="e">
        <f>#REF!</f>
        <v>#REF!</v>
      </c>
      <c r="AI133" s="7" t="e">
        <f>#REF!</f>
        <v>#REF!</v>
      </c>
      <c r="AJ133" s="8" t="str">
        <f>IFERROR(VLOOKUP(ROWS(AJ$2:AJ133),$AG$2:$AI$151,2,FALSE),"")</f>
        <v/>
      </c>
      <c r="AK133" s="8" t="str">
        <f>IFERROR(VLOOKUP(ROWS($AJ$2:AJ133),$AG$2:$AI$151,3,FALSE),"")</f>
        <v/>
      </c>
      <c r="AM133" s="7">
        <f>IF(ISNUMBER(SEARCH(#REF!,AN133)),MAX($AM$1:AM132)+1,0)</f>
        <v>0</v>
      </c>
      <c r="AN133" s="7" t="e">
        <f>#REF!</f>
        <v>#REF!</v>
      </c>
      <c r="AO133" s="7" t="e">
        <f>#REF!</f>
        <v>#REF!</v>
      </c>
      <c r="AP133" s="8" t="str">
        <f>IFERROR(VLOOKUP(ROWS($AP$2:AP133),$AM$2:$AO$151,2,FALSE),"")</f>
        <v/>
      </c>
      <c r="AQ133" s="8" t="str">
        <f>IFERROR(VLOOKUP(ROWS($AP$2:AP133),$AM$2:$AO$151,3,FALSE),"")</f>
        <v/>
      </c>
      <c r="AS133" s="9">
        <f>IF(ISNUMBER(SEARCH(#REF!,AT133)),MAX($AS$1:AS132)+1,0)</f>
        <v>0</v>
      </c>
      <c r="AT133" s="9" t="e">
        <f>#REF!</f>
        <v>#REF!</v>
      </c>
      <c r="AU133" s="9" t="e">
        <f>#REF!</f>
        <v>#REF!</v>
      </c>
      <c r="AV133" s="10" t="str">
        <f>IFERROR(VLOOKUP(ROWS(AV$2:AV133),$AS$2:$AU$151,2,FALSE),"")</f>
        <v/>
      </c>
      <c r="AW133" s="10" t="str">
        <f>IFERROR(VLOOKUP(ROWS($AV$2:AV133),$AS$2:$AU$151,3,FALSE),"")</f>
        <v/>
      </c>
      <c r="AY133" s="9">
        <f>IF(ISNUMBER(SEARCH(#REF!,AZ133)),MAX($AY$1:AY132)+1,0)</f>
        <v>0</v>
      </c>
      <c r="AZ133" s="9" t="e">
        <f>#REF!</f>
        <v>#REF!</v>
      </c>
      <c r="BA133" s="9" t="e">
        <f>#REF!</f>
        <v>#REF!</v>
      </c>
      <c r="BB133" s="10" t="str">
        <f>IFERROR(VLOOKUP(ROWS($BB$2:BB133),$AY$2:$BA$151,2,FALSE),"")</f>
        <v/>
      </c>
      <c r="BC133" s="10" t="str">
        <f>IFERROR(VLOOKUP(ROWS($BB$2:BB133),$AY$2:$BA$151,3,FALSE),"")</f>
        <v/>
      </c>
    </row>
    <row r="134" spans="3:55" x14ac:dyDescent="0.25">
      <c r="C134" s="3">
        <f>IF(ISNUMBER(SEARCH(#REF!,D134)),MAX($C$1:C133)+1,0)</f>
        <v>0</v>
      </c>
      <c r="D134" s="3" t="e">
        <f>#REF!</f>
        <v>#REF!</v>
      </c>
      <c r="E134" s="3" t="e">
        <f>#REF!</f>
        <v>#REF!</v>
      </c>
      <c r="F134" s="4" t="str">
        <f>IFERROR(VLOOKUP(ROWS($F$2:F134),$C$2:$E$151,2,FALSE),"")</f>
        <v/>
      </c>
      <c r="G134" s="4" t="str">
        <f>IFERROR(VLOOKUP(ROWS($F$2:F134),$C$2:$E$151,3,FALSE),"")</f>
        <v/>
      </c>
      <c r="I134" s="3">
        <f>IF(ISNUMBER(SEARCH(#REF!,J134)),MAX($I$1:I133)+1,0)</f>
        <v>0</v>
      </c>
      <c r="J134" s="3" t="e">
        <f>#REF!</f>
        <v>#REF!</v>
      </c>
      <c r="K134" s="3" t="e">
        <f>#REF!</f>
        <v>#REF!</v>
      </c>
      <c r="L134" s="4" t="str">
        <f>IFERROR(VLOOKUP(ROWS($L$2:L134),$I$2:$K$151,2,FALSE),"")</f>
        <v/>
      </c>
      <c r="M134" s="4" t="str">
        <f>IFERROR(VLOOKUP(ROWS($L$2:L134),$I$2:$K$151,3,FALSE),"")</f>
        <v/>
      </c>
      <c r="O134" s="3">
        <f>IF(ISNUMBER(SEARCH(#REF!,P134)),MAX($O$1:O133)+1,0)</f>
        <v>0</v>
      </c>
      <c r="P134" s="3" t="e">
        <f>#REF!</f>
        <v>#REF!</v>
      </c>
      <c r="Q134" s="3" t="e">
        <f>#REF!</f>
        <v>#REF!</v>
      </c>
      <c r="R134" s="4" t="str">
        <f>IFERROR(VLOOKUP(ROWS($R$2:R134),$O$2:$Q$151,2,FALSE),"")</f>
        <v/>
      </c>
      <c r="S134" s="4" t="str">
        <f>IFERROR(VLOOKUP(ROWS($R$2:R134),$O$2:$Q$151,3,FALSE),"")</f>
        <v/>
      </c>
      <c r="U134" s="5">
        <f>IF(ISNUMBER(SEARCH(#REF!,V134)),MAX($U$1:U133)+1,0)</f>
        <v>0</v>
      </c>
      <c r="V134" s="5" t="e">
        <f>#REF!</f>
        <v>#REF!</v>
      </c>
      <c r="W134" s="5" t="e">
        <f>#REF!</f>
        <v>#REF!</v>
      </c>
      <c r="X134" s="6" t="str">
        <f>IFERROR(VLOOKUP(ROWS($X$2:X134),$U$2:$W$151,2,FALSE),"")</f>
        <v/>
      </c>
      <c r="Y134" s="6" t="str">
        <f>IFERROR(VLOOKUP(ROWS($X$2:X134),$U$2:$W$151,3,FALSE),"")</f>
        <v/>
      </c>
      <c r="AA134" s="5">
        <f>IF(ISNUMBER(SEARCH(#REF!,AB134)),MAX($AA$1:AA133)+1,0)</f>
        <v>0</v>
      </c>
      <c r="AB134" s="5" t="e">
        <f>#REF!</f>
        <v>#REF!</v>
      </c>
      <c r="AC134" s="5" t="e">
        <f>#REF!</f>
        <v>#REF!</v>
      </c>
      <c r="AD134" s="6" t="str">
        <f>IFERROR(VLOOKUP(ROWS($AD$2:AD134),$AA$2:$AC$151,2,FALSE),"")</f>
        <v/>
      </c>
      <c r="AE134" s="6" t="str">
        <f>IFERROR(VLOOKUP(ROWS($AD$2:AD134),$AA$2:$AC$151,3,FALSE),"")</f>
        <v/>
      </c>
      <c r="AG134" s="7">
        <f>IF(ISNUMBER(SEARCH(#REF!,AH134)),MAX($AG$1:AG133)+1,0)</f>
        <v>0</v>
      </c>
      <c r="AH134" s="7" t="e">
        <f>#REF!</f>
        <v>#REF!</v>
      </c>
      <c r="AI134" s="7" t="e">
        <f>#REF!</f>
        <v>#REF!</v>
      </c>
      <c r="AJ134" s="8" t="str">
        <f>IFERROR(VLOOKUP(ROWS(AJ$2:AJ134),$AG$2:$AI$151,2,FALSE),"")</f>
        <v/>
      </c>
      <c r="AK134" s="8" t="str">
        <f>IFERROR(VLOOKUP(ROWS($AJ$2:AJ134),$AG$2:$AI$151,3,FALSE),"")</f>
        <v/>
      </c>
      <c r="AM134" s="7">
        <f>IF(ISNUMBER(SEARCH(#REF!,AN134)),MAX($AM$1:AM133)+1,0)</f>
        <v>0</v>
      </c>
      <c r="AN134" s="7" t="e">
        <f>#REF!</f>
        <v>#REF!</v>
      </c>
      <c r="AO134" s="7" t="e">
        <f>#REF!</f>
        <v>#REF!</v>
      </c>
      <c r="AP134" s="8" t="str">
        <f>IFERROR(VLOOKUP(ROWS($AP$2:AP134),$AM$2:$AO$151,2,FALSE),"")</f>
        <v/>
      </c>
      <c r="AQ134" s="8" t="str">
        <f>IFERROR(VLOOKUP(ROWS($AP$2:AP134),$AM$2:$AO$151,3,FALSE),"")</f>
        <v/>
      </c>
      <c r="AS134" s="9">
        <f>IF(ISNUMBER(SEARCH(#REF!,AT134)),MAX($AS$1:AS133)+1,0)</f>
        <v>0</v>
      </c>
      <c r="AT134" s="9" t="e">
        <f>#REF!</f>
        <v>#REF!</v>
      </c>
      <c r="AU134" s="9" t="e">
        <f>#REF!</f>
        <v>#REF!</v>
      </c>
      <c r="AV134" s="10" t="str">
        <f>IFERROR(VLOOKUP(ROWS(AV$2:AV134),$AS$2:$AU$151,2,FALSE),"")</f>
        <v/>
      </c>
      <c r="AW134" s="10" t="str">
        <f>IFERROR(VLOOKUP(ROWS($AV$2:AV134),$AS$2:$AU$151,3,FALSE),"")</f>
        <v/>
      </c>
      <c r="AY134" s="9">
        <f>IF(ISNUMBER(SEARCH(#REF!,AZ134)),MAX($AY$1:AY133)+1,0)</f>
        <v>0</v>
      </c>
      <c r="AZ134" s="9" t="e">
        <f>#REF!</f>
        <v>#REF!</v>
      </c>
      <c r="BA134" s="9" t="e">
        <f>#REF!</f>
        <v>#REF!</v>
      </c>
      <c r="BB134" s="10" t="str">
        <f>IFERROR(VLOOKUP(ROWS($BB$2:BB134),$AY$2:$BA$151,2,FALSE),"")</f>
        <v/>
      </c>
      <c r="BC134" s="10" t="str">
        <f>IFERROR(VLOOKUP(ROWS($BB$2:BB134),$AY$2:$BA$151,3,FALSE),"")</f>
        <v/>
      </c>
    </row>
    <row r="135" spans="3:55" x14ac:dyDescent="0.25">
      <c r="C135" s="3">
        <f>IF(ISNUMBER(SEARCH(#REF!,D135)),MAX($C$1:C134)+1,0)</f>
        <v>0</v>
      </c>
      <c r="D135" s="3" t="e">
        <f>#REF!</f>
        <v>#REF!</v>
      </c>
      <c r="E135" s="3" t="e">
        <f>#REF!</f>
        <v>#REF!</v>
      </c>
      <c r="F135" s="4" t="str">
        <f>IFERROR(VLOOKUP(ROWS($F$2:F135),$C$2:$E$151,2,FALSE),"")</f>
        <v/>
      </c>
      <c r="G135" s="4" t="str">
        <f>IFERROR(VLOOKUP(ROWS($F$2:F135),$C$2:$E$151,3,FALSE),"")</f>
        <v/>
      </c>
      <c r="I135" s="3">
        <f>IF(ISNUMBER(SEARCH(#REF!,J135)),MAX($I$1:I134)+1,0)</f>
        <v>0</v>
      </c>
      <c r="J135" s="3" t="e">
        <f>#REF!</f>
        <v>#REF!</v>
      </c>
      <c r="K135" s="3" t="e">
        <f>#REF!</f>
        <v>#REF!</v>
      </c>
      <c r="L135" s="4" t="str">
        <f>IFERROR(VLOOKUP(ROWS($L$2:L135),$I$2:$K$151,2,FALSE),"")</f>
        <v/>
      </c>
      <c r="M135" s="4" t="str">
        <f>IFERROR(VLOOKUP(ROWS($L$2:L135),$I$2:$K$151,3,FALSE),"")</f>
        <v/>
      </c>
      <c r="O135" s="3">
        <f>IF(ISNUMBER(SEARCH(#REF!,P135)),MAX($O$1:O134)+1,0)</f>
        <v>0</v>
      </c>
      <c r="P135" s="3" t="e">
        <f>#REF!</f>
        <v>#REF!</v>
      </c>
      <c r="Q135" s="3" t="e">
        <f>#REF!</f>
        <v>#REF!</v>
      </c>
      <c r="R135" s="4" t="str">
        <f>IFERROR(VLOOKUP(ROWS($R$2:R135),$O$2:$Q$151,2,FALSE),"")</f>
        <v/>
      </c>
      <c r="S135" s="4" t="str">
        <f>IFERROR(VLOOKUP(ROWS($R$2:R135),$O$2:$Q$151,3,FALSE),"")</f>
        <v/>
      </c>
      <c r="U135" s="5">
        <f>IF(ISNUMBER(SEARCH(#REF!,V135)),MAX($U$1:U134)+1,0)</f>
        <v>0</v>
      </c>
      <c r="V135" s="5" t="e">
        <f>#REF!</f>
        <v>#REF!</v>
      </c>
      <c r="W135" s="5" t="e">
        <f>#REF!</f>
        <v>#REF!</v>
      </c>
      <c r="X135" s="6" t="str">
        <f>IFERROR(VLOOKUP(ROWS($X$2:X135),$U$2:$W$151,2,FALSE),"")</f>
        <v/>
      </c>
      <c r="Y135" s="6" t="str">
        <f>IFERROR(VLOOKUP(ROWS($X$2:X135),$U$2:$W$151,3,FALSE),"")</f>
        <v/>
      </c>
      <c r="AA135" s="5">
        <f>IF(ISNUMBER(SEARCH(#REF!,AB135)),MAX($AA$1:AA134)+1,0)</f>
        <v>0</v>
      </c>
      <c r="AB135" s="5" t="e">
        <f>#REF!</f>
        <v>#REF!</v>
      </c>
      <c r="AC135" s="5" t="e">
        <f>#REF!</f>
        <v>#REF!</v>
      </c>
      <c r="AD135" s="6" t="str">
        <f>IFERROR(VLOOKUP(ROWS($AD$2:AD135),$AA$2:$AC$151,2,FALSE),"")</f>
        <v/>
      </c>
      <c r="AE135" s="6" t="str">
        <f>IFERROR(VLOOKUP(ROWS($AD$2:AD135),$AA$2:$AC$151,3,FALSE),"")</f>
        <v/>
      </c>
      <c r="AG135" s="7">
        <f>IF(ISNUMBER(SEARCH(#REF!,AH135)),MAX($AG$1:AG134)+1,0)</f>
        <v>0</v>
      </c>
      <c r="AH135" s="7" t="e">
        <f>#REF!</f>
        <v>#REF!</v>
      </c>
      <c r="AI135" s="7" t="e">
        <f>#REF!</f>
        <v>#REF!</v>
      </c>
      <c r="AJ135" s="8" t="str">
        <f>IFERROR(VLOOKUP(ROWS(AJ$2:AJ135),$AG$2:$AI$151,2,FALSE),"")</f>
        <v/>
      </c>
      <c r="AK135" s="8" t="str">
        <f>IFERROR(VLOOKUP(ROWS($AJ$2:AJ135),$AG$2:$AI$151,3,FALSE),"")</f>
        <v/>
      </c>
      <c r="AM135" s="7">
        <f>IF(ISNUMBER(SEARCH(#REF!,AN135)),MAX($AM$1:AM134)+1,0)</f>
        <v>0</v>
      </c>
      <c r="AN135" s="7" t="e">
        <f>#REF!</f>
        <v>#REF!</v>
      </c>
      <c r="AO135" s="7" t="e">
        <f>#REF!</f>
        <v>#REF!</v>
      </c>
      <c r="AP135" s="8" t="str">
        <f>IFERROR(VLOOKUP(ROWS($AP$2:AP135),$AM$2:$AO$151,2,FALSE),"")</f>
        <v/>
      </c>
      <c r="AQ135" s="8" t="str">
        <f>IFERROR(VLOOKUP(ROWS($AP$2:AP135),$AM$2:$AO$151,3,FALSE),"")</f>
        <v/>
      </c>
      <c r="AS135" s="9">
        <f>IF(ISNUMBER(SEARCH(#REF!,AT135)),MAX($AS$1:AS134)+1,0)</f>
        <v>0</v>
      </c>
      <c r="AT135" s="9" t="e">
        <f>#REF!</f>
        <v>#REF!</v>
      </c>
      <c r="AU135" s="9" t="e">
        <f>#REF!</f>
        <v>#REF!</v>
      </c>
      <c r="AV135" s="10" t="str">
        <f>IFERROR(VLOOKUP(ROWS(AV$2:AV135),$AS$2:$AU$151,2,FALSE),"")</f>
        <v/>
      </c>
      <c r="AW135" s="10" t="str">
        <f>IFERROR(VLOOKUP(ROWS($AV$2:AV135),$AS$2:$AU$151,3,FALSE),"")</f>
        <v/>
      </c>
      <c r="AY135" s="9">
        <f>IF(ISNUMBER(SEARCH(#REF!,AZ135)),MAX($AY$1:AY134)+1,0)</f>
        <v>0</v>
      </c>
      <c r="AZ135" s="9" t="e">
        <f>#REF!</f>
        <v>#REF!</v>
      </c>
      <c r="BA135" s="9" t="e">
        <f>#REF!</f>
        <v>#REF!</v>
      </c>
      <c r="BB135" s="10" t="str">
        <f>IFERROR(VLOOKUP(ROWS($BB$2:BB135),$AY$2:$BA$151,2,FALSE),"")</f>
        <v/>
      </c>
      <c r="BC135" s="10" t="str">
        <f>IFERROR(VLOOKUP(ROWS($BB$2:BB135),$AY$2:$BA$151,3,FALSE),"")</f>
        <v/>
      </c>
    </row>
    <row r="136" spans="3:55" x14ac:dyDescent="0.25">
      <c r="C136" s="3">
        <f>IF(ISNUMBER(SEARCH(#REF!,D136)),MAX($C$1:C135)+1,0)</f>
        <v>0</v>
      </c>
      <c r="D136" s="3" t="e">
        <f>#REF!</f>
        <v>#REF!</v>
      </c>
      <c r="E136" s="3" t="e">
        <f>#REF!</f>
        <v>#REF!</v>
      </c>
      <c r="F136" s="4" t="str">
        <f>IFERROR(VLOOKUP(ROWS($F$2:F136),$C$2:$E$151,2,FALSE),"")</f>
        <v/>
      </c>
      <c r="G136" s="4" t="str">
        <f>IFERROR(VLOOKUP(ROWS($F$2:F136),$C$2:$E$151,3,FALSE),"")</f>
        <v/>
      </c>
      <c r="I136" s="3">
        <f>IF(ISNUMBER(SEARCH(#REF!,J136)),MAX($I$1:I135)+1,0)</f>
        <v>0</v>
      </c>
      <c r="J136" s="3" t="e">
        <f>#REF!</f>
        <v>#REF!</v>
      </c>
      <c r="K136" s="3" t="e">
        <f>#REF!</f>
        <v>#REF!</v>
      </c>
      <c r="L136" s="4" t="str">
        <f>IFERROR(VLOOKUP(ROWS($L$2:L136),$I$2:$K$151,2,FALSE),"")</f>
        <v/>
      </c>
      <c r="M136" s="4" t="str">
        <f>IFERROR(VLOOKUP(ROWS($L$2:L136),$I$2:$K$151,3,FALSE),"")</f>
        <v/>
      </c>
      <c r="O136" s="3">
        <f>IF(ISNUMBER(SEARCH(#REF!,P136)),MAX($O$1:O135)+1,0)</f>
        <v>0</v>
      </c>
      <c r="P136" s="3" t="e">
        <f>#REF!</f>
        <v>#REF!</v>
      </c>
      <c r="Q136" s="3" t="e">
        <f>#REF!</f>
        <v>#REF!</v>
      </c>
      <c r="R136" s="4" t="str">
        <f>IFERROR(VLOOKUP(ROWS($R$2:R136),$O$2:$Q$151,2,FALSE),"")</f>
        <v/>
      </c>
      <c r="S136" s="4" t="str">
        <f>IFERROR(VLOOKUP(ROWS($R$2:R136),$O$2:$Q$151,3,FALSE),"")</f>
        <v/>
      </c>
      <c r="U136" s="5">
        <f>IF(ISNUMBER(SEARCH(#REF!,V136)),MAX($U$1:U135)+1,0)</f>
        <v>0</v>
      </c>
      <c r="V136" s="5" t="e">
        <f>#REF!</f>
        <v>#REF!</v>
      </c>
      <c r="W136" s="5" t="e">
        <f>#REF!</f>
        <v>#REF!</v>
      </c>
      <c r="X136" s="6" t="str">
        <f>IFERROR(VLOOKUP(ROWS($X$2:X136),$U$2:$W$151,2,FALSE),"")</f>
        <v/>
      </c>
      <c r="Y136" s="6" t="str">
        <f>IFERROR(VLOOKUP(ROWS($X$2:X136),$U$2:$W$151,3,FALSE),"")</f>
        <v/>
      </c>
      <c r="AA136" s="5">
        <f>IF(ISNUMBER(SEARCH(#REF!,AB136)),MAX($AA$1:AA135)+1,0)</f>
        <v>0</v>
      </c>
      <c r="AB136" s="5" t="e">
        <f>#REF!</f>
        <v>#REF!</v>
      </c>
      <c r="AC136" s="5" t="e">
        <f>#REF!</f>
        <v>#REF!</v>
      </c>
      <c r="AD136" s="6" t="str">
        <f>IFERROR(VLOOKUP(ROWS($AD$2:AD136),$AA$2:$AC$151,2,FALSE),"")</f>
        <v/>
      </c>
      <c r="AE136" s="6" t="str">
        <f>IFERROR(VLOOKUP(ROWS($AD$2:AD136),$AA$2:$AC$151,3,FALSE),"")</f>
        <v/>
      </c>
      <c r="AG136" s="7">
        <f>IF(ISNUMBER(SEARCH(#REF!,AH136)),MAX($AG$1:AG135)+1,0)</f>
        <v>0</v>
      </c>
      <c r="AH136" s="7" t="e">
        <f>#REF!</f>
        <v>#REF!</v>
      </c>
      <c r="AI136" s="7" t="e">
        <f>#REF!</f>
        <v>#REF!</v>
      </c>
      <c r="AJ136" s="8" t="str">
        <f>IFERROR(VLOOKUP(ROWS(AJ$2:AJ136),$AG$2:$AI$151,2,FALSE),"")</f>
        <v/>
      </c>
      <c r="AK136" s="8" t="str">
        <f>IFERROR(VLOOKUP(ROWS($AJ$2:AJ136),$AG$2:$AI$151,3,FALSE),"")</f>
        <v/>
      </c>
      <c r="AM136" s="7">
        <f>IF(ISNUMBER(SEARCH(#REF!,AN136)),MAX($AM$1:AM135)+1,0)</f>
        <v>0</v>
      </c>
      <c r="AN136" s="7" t="e">
        <f>#REF!</f>
        <v>#REF!</v>
      </c>
      <c r="AO136" s="7" t="e">
        <f>#REF!</f>
        <v>#REF!</v>
      </c>
      <c r="AP136" s="8" t="str">
        <f>IFERROR(VLOOKUP(ROWS($AP$2:AP136),$AM$2:$AO$151,2,FALSE),"")</f>
        <v/>
      </c>
      <c r="AQ136" s="8" t="str">
        <f>IFERROR(VLOOKUP(ROWS($AP$2:AP136),$AM$2:$AO$151,3,FALSE),"")</f>
        <v/>
      </c>
      <c r="AS136" s="9">
        <f>IF(ISNUMBER(SEARCH(#REF!,AT136)),MAX($AS$1:AS135)+1,0)</f>
        <v>0</v>
      </c>
      <c r="AT136" s="9" t="e">
        <f>#REF!</f>
        <v>#REF!</v>
      </c>
      <c r="AU136" s="9" t="e">
        <f>#REF!</f>
        <v>#REF!</v>
      </c>
      <c r="AV136" s="10" t="str">
        <f>IFERROR(VLOOKUP(ROWS(AV$2:AV136),$AS$2:$AU$151,2,FALSE),"")</f>
        <v/>
      </c>
      <c r="AW136" s="10" t="str">
        <f>IFERROR(VLOOKUP(ROWS($AV$2:AV136),$AS$2:$AU$151,3,FALSE),"")</f>
        <v/>
      </c>
      <c r="AY136" s="9">
        <f>IF(ISNUMBER(SEARCH(#REF!,AZ136)),MAX($AY$1:AY135)+1,0)</f>
        <v>0</v>
      </c>
      <c r="AZ136" s="9" t="e">
        <f>#REF!</f>
        <v>#REF!</v>
      </c>
      <c r="BA136" s="9" t="e">
        <f>#REF!</f>
        <v>#REF!</v>
      </c>
      <c r="BB136" s="10" t="str">
        <f>IFERROR(VLOOKUP(ROWS($BB$2:BB136),$AY$2:$BA$151,2,FALSE),"")</f>
        <v/>
      </c>
      <c r="BC136" s="10" t="str">
        <f>IFERROR(VLOOKUP(ROWS($BB$2:BB136),$AY$2:$BA$151,3,FALSE),"")</f>
        <v/>
      </c>
    </row>
    <row r="137" spans="3:55" x14ac:dyDescent="0.25">
      <c r="C137" s="3">
        <f>IF(ISNUMBER(SEARCH(#REF!,D137)),MAX($C$1:C136)+1,0)</f>
        <v>0</v>
      </c>
      <c r="D137" s="3" t="e">
        <f>#REF!</f>
        <v>#REF!</v>
      </c>
      <c r="E137" s="3" t="e">
        <f>#REF!</f>
        <v>#REF!</v>
      </c>
      <c r="F137" s="4" t="str">
        <f>IFERROR(VLOOKUP(ROWS($F$2:F137),$C$2:$E$151,2,FALSE),"")</f>
        <v/>
      </c>
      <c r="G137" s="4" t="str">
        <f>IFERROR(VLOOKUP(ROWS($F$2:F137),$C$2:$E$151,3,FALSE),"")</f>
        <v/>
      </c>
      <c r="I137" s="3">
        <f>IF(ISNUMBER(SEARCH(#REF!,J137)),MAX($I$1:I136)+1,0)</f>
        <v>0</v>
      </c>
      <c r="J137" s="3" t="e">
        <f>#REF!</f>
        <v>#REF!</v>
      </c>
      <c r="K137" s="3" t="e">
        <f>#REF!</f>
        <v>#REF!</v>
      </c>
      <c r="L137" s="4" t="str">
        <f>IFERROR(VLOOKUP(ROWS($L$2:L137),$I$2:$K$151,2,FALSE),"")</f>
        <v/>
      </c>
      <c r="M137" s="4" t="str">
        <f>IFERROR(VLOOKUP(ROWS($L$2:L137),$I$2:$K$151,3,FALSE),"")</f>
        <v/>
      </c>
      <c r="O137" s="3">
        <f>IF(ISNUMBER(SEARCH(#REF!,P137)),MAX($O$1:O136)+1,0)</f>
        <v>0</v>
      </c>
      <c r="P137" s="3" t="e">
        <f>#REF!</f>
        <v>#REF!</v>
      </c>
      <c r="Q137" s="3" t="e">
        <f>#REF!</f>
        <v>#REF!</v>
      </c>
      <c r="R137" s="4" t="str">
        <f>IFERROR(VLOOKUP(ROWS($R$2:R137),$O$2:$Q$151,2,FALSE),"")</f>
        <v/>
      </c>
      <c r="S137" s="4" t="str">
        <f>IFERROR(VLOOKUP(ROWS($R$2:R137),$O$2:$Q$151,3,FALSE),"")</f>
        <v/>
      </c>
      <c r="U137" s="5">
        <f>IF(ISNUMBER(SEARCH(#REF!,V137)),MAX($U$1:U136)+1,0)</f>
        <v>0</v>
      </c>
      <c r="V137" s="5" t="e">
        <f>#REF!</f>
        <v>#REF!</v>
      </c>
      <c r="W137" s="5" t="e">
        <f>#REF!</f>
        <v>#REF!</v>
      </c>
      <c r="X137" s="6" t="str">
        <f>IFERROR(VLOOKUP(ROWS($X$2:X137),$U$2:$W$151,2,FALSE),"")</f>
        <v/>
      </c>
      <c r="Y137" s="6" t="str">
        <f>IFERROR(VLOOKUP(ROWS($X$2:X137),$U$2:$W$151,3,FALSE),"")</f>
        <v/>
      </c>
      <c r="AA137" s="5">
        <f>IF(ISNUMBER(SEARCH(#REF!,AB137)),MAX($AA$1:AA136)+1,0)</f>
        <v>0</v>
      </c>
      <c r="AB137" s="5" t="e">
        <f>#REF!</f>
        <v>#REF!</v>
      </c>
      <c r="AC137" s="5" t="e">
        <f>#REF!</f>
        <v>#REF!</v>
      </c>
      <c r="AD137" s="6" t="str">
        <f>IFERROR(VLOOKUP(ROWS($AD$2:AD137),$AA$2:$AC$151,2,FALSE),"")</f>
        <v/>
      </c>
      <c r="AE137" s="6" t="str">
        <f>IFERROR(VLOOKUP(ROWS($AD$2:AD137),$AA$2:$AC$151,3,FALSE),"")</f>
        <v/>
      </c>
      <c r="AG137" s="7">
        <f>IF(ISNUMBER(SEARCH(#REF!,AH137)),MAX($AG$1:AG136)+1,0)</f>
        <v>0</v>
      </c>
      <c r="AH137" s="7" t="e">
        <f>#REF!</f>
        <v>#REF!</v>
      </c>
      <c r="AI137" s="7" t="e">
        <f>#REF!</f>
        <v>#REF!</v>
      </c>
      <c r="AJ137" s="8" t="str">
        <f>IFERROR(VLOOKUP(ROWS(AJ$2:AJ137),$AG$2:$AI$151,2,FALSE),"")</f>
        <v/>
      </c>
      <c r="AK137" s="8" t="str">
        <f>IFERROR(VLOOKUP(ROWS($AJ$2:AJ137),$AG$2:$AI$151,3,FALSE),"")</f>
        <v/>
      </c>
      <c r="AM137" s="7">
        <f>IF(ISNUMBER(SEARCH(#REF!,AN137)),MAX($AM$1:AM136)+1,0)</f>
        <v>0</v>
      </c>
      <c r="AN137" s="7" t="e">
        <f>#REF!</f>
        <v>#REF!</v>
      </c>
      <c r="AO137" s="7" t="e">
        <f>#REF!</f>
        <v>#REF!</v>
      </c>
      <c r="AP137" s="8" t="str">
        <f>IFERROR(VLOOKUP(ROWS($AP$2:AP137),$AM$2:$AO$151,2,FALSE),"")</f>
        <v/>
      </c>
      <c r="AQ137" s="8" t="str">
        <f>IFERROR(VLOOKUP(ROWS($AP$2:AP137),$AM$2:$AO$151,3,FALSE),"")</f>
        <v/>
      </c>
      <c r="AS137" s="9">
        <f>IF(ISNUMBER(SEARCH(#REF!,AT137)),MAX($AS$1:AS136)+1,0)</f>
        <v>0</v>
      </c>
      <c r="AT137" s="9" t="e">
        <f>#REF!</f>
        <v>#REF!</v>
      </c>
      <c r="AU137" s="9" t="e">
        <f>#REF!</f>
        <v>#REF!</v>
      </c>
      <c r="AV137" s="10" t="str">
        <f>IFERROR(VLOOKUP(ROWS(AV$2:AV137),$AS$2:$AU$151,2,FALSE),"")</f>
        <v/>
      </c>
      <c r="AW137" s="10" t="str">
        <f>IFERROR(VLOOKUP(ROWS($AV$2:AV137),$AS$2:$AU$151,3,FALSE),"")</f>
        <v/>
      </c>
      <c r="AY137" s="9">
        <f>IF(ISNUMBER(SEARCH(#REF!,AZ137)),MAX($AY$1:AY136)+1,0)</f>
        <v>0</v>
      </c>
      <c r="AZ137" s="9" t="e">
        <f>#REF!</f>
        <v>#REF!</v>
      </c>
      <c r="BA137" s="9" t="e">
        <f>#REF!</f>
        <v>#REF!</v>
      </c>
      <c r="BB137" s="10" t="str">
        <f>IFERROR(VLOOKUP(ROWS($BB$2:BB137),$AY$2:$BA$151,2,FALSE),"")</f>
        <v/>
      </c>
      <c r="BC137" s="10" t="str">
        <f>IFERROR(VLOOKUP(ROWS($BB$2:BB137),$AY$2:$BA$151,3,FALSE),"")</f>
        <v/>
      </c>
    </row>
    <row r="138" spans="3:55" x14ac:dyDescent="0.25">
      <c r="C138" s="3">
        <f>IF(ISNUMBER(SEARCH(#REF!,D138)),MAX($C$1:C137)+1,0)</f>
        <v>0</v>
      </c>
      <c r="D138" s="3" t="e">
        <f>#REF!</f>
        <v>#REF!</v>
      </c>
      <c r="E138" s="3" t="e">
        <f>#REF!</f>
        <v>#REF!</v>
      </c>
      <c r="F138" s="4" t="str">
        <f>IFERROR(VLOOKUP(ROWS($F$2:F138),$C$2:$E$151,2,FALSE),"")</f>
        <v/>
      </c>
      <c r="G138" s="4" t="str">
        <f>IFERROR(VLOOKUP(ROWS($F$2:F138),$C$2:$E$151,3,FALSE),"")</f>
        <v/>
      </c>
      <c r="I138" s="3">
        <f>IF(ISNUMBER(SEARCH(#REF!,J138)),MAX($I$1:I137)+1,0)</f>
        <v>0</v>
      </c>
      <c r="J138" s="3" t="e">
        <f>#REF!</f>
        <v>#REF!</v>
      </c>
      <c r="K138" s="3" t="e">
        <f>#REF!</f>
        <v>#REF!</v>
      </c>
      <c r="L138" s="4" t="str">
        <f>IFERROR(VLOOKUP(ROWS($L$2:L138),$I$2:$K$151,2,FALSE),"")</f>
        <v/>
      </c>
      <c r="M138" s="4" t="str">
        <f>IFERROR(VLOOKUP(ROWS($L$2:L138),$I$2:$K$151,3,FALSE),"")</f>
        <v/>
      </c>
      <c r="O138" s="3">
        <f>IF(ISNUMBER(SEARCH(#REF!,P138)),MAX($O$1:O137)+1,0)</f>
        <v>0</v>
      </c>
      <c r="P138" s="3" t="e">
        <f>#REF!</f>
        <v>#REF!</v>
      </c>
      <c r="Q138" s="3" t="e">
        <f>#REF!</f>
        <v>#REF!</v>
      </c>
      <c r="R138" s="4" t="str">
        <f>IFERROR(VLOOKUP(ROWS($R$2:R138),$O$2:$Q$151,2,FALSE),"")</f>
        <v/>
      </c>
      <c r="S138" s="4" t="str">
        <f>IFERROR(VLOOKUP(ROWS($R$2:R138),$O$2:$Q$151,3,FALSE),"")</f>
        <v/>
      </c>
      <c r="U138" s="5">
        <f>IF(ISNUMBER(SEARCH(#REF!,V138)),MAX($U$1:U137)+1,0)</f>
        <v>0</v>
      </c>
      <c r="V138" s="5" t="e">
        <f>#REF!</f>
        <v>#REF!</v>
      </c>
      <c r="W138" s="5" t="e">
        <f>#REF!</f>
        <v>#REF!</v>
      </c>
      <c r="X138" s="6" t="str">
        <f>IFERROR(VLOOKUP(ROWS($X$2:X138),$U$2:$W$151,2,FALSE),"")</f>
        <v/>
      </c>
      <c r="Y138" s="6" t="str">
        <f>IFERROR(VLOOKUP(ROWS($X$2:X138),$U$2:$W$151,3,FALSE),"")</f>
        <v/>
      </c>
      <c r="AA138" s="5">
        <f>IF(ISNUMBER(SEARCH(#REF!,AB138)),MAX($AA$1:AA137)+1,0)</f>
        <v>0</v>
      </c>
      <c r="AB138" s="5" t="e">
        <f>#REF!</f>
        <v>#REF!</v>
      </c>
      <c r="AC138" s="5" t="e">
        <f>#REF!</f>
        <v>#REF!</v>
      </c>
      <c r="AD138" s="6" t="str">
        <f>IFERROR(VLOOKUP(ROWS($AD$2:AD138),$AA$2:$AC$151,2,FALSE),"")</f>
        <v/>
      </c>
      <c r="AE138" s="6" t="str">
        <f>IFERROR(VLOOKUP(ROWS($AD$2:AD138),$AA$2:$AC$151,3,FALSE),"")</f>
        <v/>
      </c>
      <c r="AG138" s="7">
        <f>IF(ISNUMBER(SEARCH(#REF!,AH138)),MAX($AG$1:AG137)+1,0)</f>
        <v>0</v>
      </c>
      <c r="AH138" s="7" t="e">
        <f>#REF!</f>
        <v>#REF!</v>
      </c>
      <c r="AI138" s="7" t="e">
        <f>#REF!</f>
        <v>#REF!</v>
      </c>
      <c r="AJ138" s="8" t="str">
        <f>IFERROR(VLOOKUP(ROWS(AJ$2:AJ138),$AG$2:$AI$151,2,FALSE),"")</f>
        <v/>
      </c>
      <c r="AK138" s="8" t="str">
        <f>IFERROR(VLOOKUP(ROWS($AJ$2:AJ138),$AG$2:$AI$151,3,FALSE),"")</f>
        <v/>
      </c>
      <c r="AM138" s="7">
        <f>IF(ISNUMBER(SEARCH(#REF!,AN138)),MAX($AM$1:AM137)+1,0)</f>
        <v>0</v>
      </c>
      <c r="AN138" s="7" t="e">
        <f>#REF!</f>
        <v>#REF!</v>
      </c>
      <c r="AO138" s="7" t="e">
        <f>#REF!</f>
        <v>#REF!</v>
      </c>
      <c r="AP138" s="8" t="str">
        <f>IFERROR(VLOOKUP(ROWS($AP$2:AP138),$AM$2:$AO$151,2,FALSE),"")</f>
        <v/>
      </c>
      <c r="AQ138" s="8" t="str">
        <f>IFERROR(VLOOKUP(ROWS($AP$2:AP138),$AM$2:$AO$151,3,FALSE),"")</f>
        <v/>
      </c>
      <c r="AS138" s="9">
        <f>IF(ISNUMBER(SEARCH(#REF!,AT138)),MAX($AS$1:AS137)+1,0)</f>
        <v>0</v>
      </c>
      <c r="AT138" s="9" t="e">
        <f>#REF!</f>
        <v>#REF!</v>
      </c>
      <c r="AU138" s="9" t="e">
        <f>#REF!</f>
        <v>#REF!</v>
      </c>
      <c r="AV138" s="10" t="str">
        <f>IFERROR(VLOOKUP(ROWS(AV$2:AV138),$AS$2:$AU$151,2,FALSE),"")</f>
        <v/>
      </c>
      <c r="AW138" s="10" t="str">
        <f>IFERROR(VLOOKUP(ROWS($AV$2:AV138),$AS$2:$AU$151,3,FALSE),"")</f>
        <v/>
      </c>
      <c r="AY138" s="9">
        <f>IF(ISNUMBER(SEARCH(#REF!,AZ138)),MAX($AY$1:AY137)+1,0)</f>
        <v>0</v>
      </c>
      <c r="AZ138" s="9" t="e">
        <f>#REF!</f>
        <v>#REF!</v>
      </c>
      <c r="BA138" s="9" t="e">
        <f>#REF!</f>
        <v>#REF!</v>
      </c>
      <c r="BB138" s="10" t="str">
        <f>IFERROR(VLOOKUP(ROWS($BB$2:BB138),$AY$2:$BA$151,2,FALSE),"")</f>
        <v/>
      </c>
      <c r="BC138" s="10" t="str">
        <f>IFERROR(VLOOKUP(ROWS($BB$2:BB138),$AY$2:$BA$151,3,FALSE),"")</f>
        <v/>
      </c>
    </row>
    <row r="139" spans="3:55" x14ac:dyDescent="0.25">
      <c r="C139" s="3">
        <f>IF(ISNUMBER(SEARCH(#REF!,D139)),MAX($C$1:C138)+1,0)</f>
        <v>0</v>
      </c>
      <c r="D139" s="3" t="e">
        <f>#REF!</f>
        <v>#REF!</v>
      </c>
      <c r="E139" s="3" t="e">
        <f>#REF!</f>
        <v>#REF!</v>
      </c>
      <c r="F139" s="4" t="str">
        <f>IFERROR(VLOOKUP(ROWS($F$2:F139),$C$2:$E$151,2,FALSE),"")</f>
        <v/>
      </c>
      <c r="G139" s="4" t="str">
        <f>IFERROR(VLOOKUP(ROWS($F$2:F139),$C$2:$E$151,3,FALSE),"")</f>
        <v/>
      </c>
      <c r="I139" s="3">
        <f>IF(ISNUMBER(SEARCH(#REF!,J139)),MAX($I$1:I138)+1,0)</f>
        <v>0</v>
      </c>
      <c r="J139" s="3" t="e">
        <f>#REF!</f>
        <v>#REF!</v>
      </c>
      <c r="K139" s="3" t="e">
        <f>#REF!</f>
        <v>#REF!</v>
      </c>
      <c r="L139" s="4" t="str">
        <f>IFERROR(VLOOKUP(ROWS($L$2:L139),$I$2:$K$151,2,FALSE),"")</f>
        <v/>
      </c>
      <c r="M139" s="4" t="str">
        <f>IFERROR(VLOOKUP(ROWS($L$2:L139),$I$2:$K$151,3,FALSE),"")</f>
        <v/>
      </c>
      <c r="O139" s="3">
        <f>IF(ISNUMBER(SEARCH(#REF!,P139)),MAX($O$1:O138)+1,0)</f>
        <v>0</v>
      </c>
      <c r="P139" s="3" t="e">
        <f>#REF!</f>
        <v>#REF!</v>
      </c>
      <c r="Q139" s="3" t="e">
        <f>#REF!</f>
        <v>#REF!</v>
      </c>
      <c r="R139" s="4" t="str">
        <f>IFERROR(VLOOKUP(ROWS($R$2:R139),$O$2:$Q$151,2,FALSE),"")</f>
        <v/>
      </c>
      <c r="S139" s="4" t="str">
        <f>IFERROR(VLOOKUP(ROWS($R$2:R139),$O$2:$Q$151,3,FALSE),"")</f>
        <v/>
      </c>
      <c r="U139" s="5">
        <f>IF(ISNUMBER(SEARCH(#REF!,V139)),MAX($U$1:U138)+1,0)</f>
        <v>0</v>
      </c>
      <c r="V139" s="5" t="e">
        <f>#REF!</f>
        <v>#REF!</v>
      </c>
      <c r="W139" s="5" t="e">
        <f>#REF!</f>
        <v>#REF!</v>
      </c>
      <c r="X139" s="6" t="str">
        <f>IFERROR(VLOOKUP(ROWS($X$2:X139),$U$2:$W$151,2,FALSE),"")</f>
        <v/>
      </c>
      <c r="Y139" s="6" t="str">
        <f>IFERROR(VLOOKUP(ROWS($X$2:X139),$U$2:$W$151,3,FALSE),"")</f>
        <v/>
      </c>
      <c r="AA139" s="5">
        <f>IF(ISNUMBER(SEARCH(#REF!,AB139)),MAX($AA$1:AA138)+1,0)</f>
        <v>0</v>
      </c>
      <c r="AB139" s="5" t="e">
        <f>#REF!</f>
        <v>#REF!</v>
      </c>
      <c r="AC139" s="5" t="e">
        <f>#REF!</f>
        <v>#REF!</v>
      </c>
      <c r="AD139" s="6" t="str">
        <f>IFERROR(VLOOKUP(ROWS($AD$2:AD139),$AA$2:$AC$151,2,FALSE),"")</f>
        <v/>
      </c>
      <c r="AE139" s="6" t="str">
        <f>IFERROR(VLOOKUP(ROWS($AD$2:AD139),$AA$2:$AC$151,3,FALSE),"")</f>
        <v/>
      </c>
      <c r="AG139" s="7">
        <f>IF(ISNUMBER(SEARCH(#REF!,AH139)),MAX($AG$1:AG138)+1,0)</f>
        <v>0</v>
      </c>
      <c r="AH139" s="7" t="e">
        <f>#REF!</f>
        <v>#REF!</v>
      </c>
      <c r="AI139" s="7" t="e">
        <f>#REF!</f>
        <v>#REF!</v>
      </c>
      <c r="AJ139" s="8" t="str">
        <f>IFERROR(VLOOKUP(ROWS(AJ$2:AJ139),$AG$2:$AI$151,2,FALSE),"")</f>
        <v/>
      </c>
      <c r="AK139" s="8" t="str">
        <f>IFERROR(VLOOKUP(ROWS($AJ$2:AJ139),$AG$2:$AI$151,3,FALSE),"")</f>
        <v/>
      </c>
      <c r="AM139" s="7">
        <f>IF(ISNUMBER(SEARCH(#REF!,AN139)),MAX($AM$1:AM138)+1,0)</f>
        <v>0</v>
      </c>
      <c r="AN139" s="7" t="e">
        <f>#REF!</f>
        <v>#REF!</v>
      </c>
      <c r="AO139" s="7" t="e">
        <f>#REF!</f>
        <v>#REF!</v>
      </c>
      <c r="AP139" s="8" t="str">
        <f>IFERROR(VLOOKUP(ROWS($AP$2:AP139),$AM$2:$AO$151,2,FALSE),"")</f>
        <v/>
      </c>
      <c r="AQ139" s="8" t="str">
        <f>IFERROR(VLOOKUP(ROWS($AP$2:AP139),$AM$2:$AO$151,3,FALSE),"")</f>
        <v/>
      </c>
      <c r="AS139" s="9">
        <f>IF(ISNUMBER(SEARCH(#REF!,AT139)),MAX($AS$1:AS138)+1,0)</f>
        <v>0</v>
      </c>
      <c r="AT139" s="9" t="e">
        <f>#REF!</f>
        <v>#REF!</v>
      </c>
      <c r="AU139" s="9" t="e">
        <f>#REF!</f>
        <v>#REF!</v>
      </c>
      <c r="AV139" s="10" t="str">
        <f>IFERROR(VLOOKUP(ROWS(AV$2:AV139),$AS$2:$AU$151,2,FALSE),"")</f>
        <v/>
      </c>
      <c r="AW139" s="10" t="str">
        <f>IFERROR(VLOOKUP(ROWS($AV$2:AV139),$AS$2:$AU$151,3,FALSE),"")</f>
        <v/>
      </c>
      <c r="AY139" s="9">
        <f>IF(ISNUMBER(SEARCH(#REF!,AZ139)),MAX($AY$1:AY138)+1,0)</f>
        <v>0</v>
      </c>
      <c r="AZ139" s="9" t="e">
        <f>#REF!</f>
        <v>#REF!</v>
      </c>
      <c r="BA139" s="9" t="e">
        <f>#REF!</f>
        <v>#REF!</v>
      </c>
      <c r="BB139" s="10" t="str">
        <f>IFERROR(VLOOKUP(ROWS($BB$2:BB139),$AY$2:$BA$151,2,FALSE),"")</f>
        <v/>
      </c>
      <c r="BC139" s="10" t="str">
        <f>IFERROR(VLOOKUP(ROWS($BB$2:BB139),$AY$2:$BA$151,3,FALSE),"")</f>
        <v/>
      </c>
    </row>
    <row r="140" spans="3:55" x14ac:dyDescent="0.25">
      <c r="C140" s="3">
        <f>IF(ISNUMBER(SEARCH(#REF!,D140)),MAX($C$1:C139)+1,0)</f>
        <v>0</v>
      </c>
      <c r="D140" s="3" t="e">
        <f>#REF!</f>
        <v>#REF!</v>
      </c>
      <c r="E140" s="3" t="e">
        <f>#REF!</f>
        <v>#REF!</v>
      </c>
      <c r="F140" s="4" t="str">
        <f>IFERROR(VLOOKUP(ROWS($F$2:F140),$C$2:$E$151,2,FALSE),"")</f>
        <v/>
      </c>
      <c r="G140" s="4" t="str">
        <f>IFERROR(VLOOKUP(ROWS($F$2:F140),$C$2:$E$151,3,FALSE),"")</f>
        <v/>
      </c>
      <c r="I140" s="3">
        <f>IF(ISNUMBER(SEARCH(#REF!,J140)),MAX($I$1:I139)+1,0)</f>
        <v>0</v>
      </c>
      <c r="J140" s="3" t="e">
        <f>#REF!</f>
        <v>#REF!</v>
      </c>
      <c r="K140" s="3" t="e">
        <f>#REF!</f>
        <v>#REF!</v>
      </c>
      <c r="L140" s="4" t="str">
        <f>IFERROR(VLOOKUP(ROWS($L$2:L140),$I$2:$K$151,2,FALSE),"")</f>
        <v/>
      </c>
      <c r="M140" s="4" t="str">
        <f>IFERROR(VLOOKUP(ROWS($L$2:L140),$I$2:$K$151,3,FALSE),"")</f>
        <v/>
      </c>
      <c r="O140" s="3">
        <f>IF(ISNUMBER(SEARCH(#REF!,P140)),MAX($O$1:O139)+1,0)</f>
        <v>0</v>
      </c>
      <c r="P140" s="3" t="e">
        <f>#REF!</f>
        <v>#REF!</v>
      </c>
      <c r="Q140" s="3" t="e">
        <f>#REF!</f>
        <v>#REF!</v>
      </c>
      <c r="R140" s="4" t="str">
        <f>IFERROR(VLOOKUP(ROWS($R$2:R140),$O$2:$Q$151,2,FALSE),"")</f>
        <v/>
      </c>
      <c r="S140" s="4" t="str">
        <f>IFERROR(VLOOKUP(ROWS($R$2:R140),$O$2:$Q$151,3,FALSE),"")</f>
        <v/>
      </c>
      <c r="U140" s="5">
        <f>IF(ISNUMBER(SEARCH(#REF!,V140)),MAX($U$1:U139)+1,0)</f>
        <v>0</v>
      </c>
      <c r="V140" s="5" t="e">
        <f>#REF!</f>
        <v>#REF!</v>
      </c>
      <c r="W140" s="5" t="e">
        <f>#REF!</f>
        <v>#REF!</v>
      </c>
      <c r="X140" s="6" t="str">
        <f>IFERROR(VLOOKUP(ROWS($X$2:X140),$U$2:$W$151,2,FALSE),"")</f>
        <v/>
      </c>
      <c r="Y140" s="6" t="str">
        <f>IFERROR(VLOOKUP(ROWS($X$2:X140),$U$2:$W$151,3,FALSE),"")</f>
        <v/>
      </c>
      <c r="AA140" s="5">
        <f>IF(ISNUMBER(SEARCH(#REF!,AB140)),MAX($AA$1:AA139)+1,0)</f>
        <v>0</v>
      </c>
      <c r="AB140" s="5" t="e">
        <f>#REF!</f>
        <v>#REF!</v>
      </c>
      <c r="AC140" s="5" t="e">
        <f>#REF!</f>
        <v>#REF!</v>
      </c>
      <c r="AD140" s="6" t="str">
        <f>IFERROR(VLOOKUP(ROWS($AD$2:AD140),$AA$2:$AC$151,2,FALSE),"")</f>
        <v/>
      </c>
      <c r="AE140" s="6" t="str">
        <f>IFERROR(VLOOKUP(ROWS($AD$2:AD140),$AA$2:$AC$151,3,FALSE),"")</f>
        <v/>
      </c>
      <c r="AG140" s="7">
        <f>IF(ISNUMBER(SEARCH(#REF!,AH140)),MAX($AG$1:AG139)+1,0)</f>
        <v>0</v>
      </c>
      <c r="AH140" s="7" t="e">
        <f>#REF!</f>
        <v>#REF!</v>
      </c>
      <c r="AI140" s="7" t="e">
        <f>#REF!</f>
        <v>#REF!</v>
      </c>
      <c r="AJ140" s="8" t="str">
        <f>IFERROR(VLOOKUP(ROWS(AJ$2:AJ140),$AG$2:$AI$151,2,FALSE),"")</f>
        <v/>
      </c>
      <c r="AK140" s="8" t="str">
        <f>IFERROR(VLOOKUP(ROWS($AJ$2:AJ140),$AG$2:$AI$151,3,FALSE),"")</f>
        <v/>
      </c>
      <c r="AM140" s="7">
        <f>IF(ISNUMBER(SEARCH(#REF!,AN140)),MAX($AM$1:AM139)+1,0)</f>
        <v>0</v>
      </c>
      <c r="AN140" s="7" t="e">
        <f>#REF!</f>
        <v>#REF!</v>
      </c>
      <c r="AO140" s="7" t="e">
        <f>#REF!</f>
        <v>#REF!</v>
      </c>
      <c r="AP140" s="8" t="str">
        <f>IFERROR(VLOOKUP(ROWS($AP$2:AP140),$AM$2:$AO$151,2,FALSE),"")</f>
        <v/>
      </c>
      <c r="AQ140" s="8" t="str">
        <f>IFERROR(VLOOKUP(ROWS($AP$2:AP140),$AM$2:$AO$151,3,FALSE),"")</f>
        <v/>
      </c>
      <c r="AS140" s="9">
        <f>IF(ISNUMBER(SEARCH(#REF!,AT140)),MAX($AS$1:AS139)+1,0)</f>
        <v>0</v>
      </c>
      <c r="AT140" s="9" t="e">
        <f>#REF!</f>
        <v>#REF!</v>
      </c>
      <c r="AU140" s="9" t="e">
        <f>#REF!</f>
        <v>#REF!</v>
      </c>
      <c r="AV140" s="10" t="str">
        <f>IFERROR(VLOOKUP(ROWS(AV$2:AV140),$AS$2:$AU$151,2,FALSE),"")</f>
        <v/>
      </c>
      <c r="AW140" s="10" t="str">
        <f>IFERROR(VLOOKUP(ROWS($AV$2:AV140),$AS$2:$AU$151,3,FALSE),"")</f>
        <v/>
      </c>
      <c r="AY140" s="9">
        <f>IF(ISNUMBER(SEARCH(#REF!,AZ140)),MAX($AY$1:AY139)+1,0)</f>
        <v>0</v>
      </c>
      <c r="AZ140" s="9" t="e">
        <f>#REF!</f>
        <v>#REF!</v>
      </c>
      <c r="BA140" s="9" t="e">
        <f>#REF!</f>
        <v>#REF!</v>
      </c>
      <c r="BB140" s="10" t="str">
        <f>IFERROR(VLOOKUP(ROWS($BB$2:BB140),$AY$2:$BA$151,2,FALSE),"")</f>
        <v/>
      </c>
      <c r="BC140" s="10" t="str">
        <f>IFERROR(VLOOKUP(ROWS($BB$2:BB140),$AY$2:$BA$151,3,FALSE),"")</f>
        <v/>
      </c>
    </row>
    <row r="141" spans="3:55" x14ac:dyDescent="0.25">
      <c r="C141" s="3">
        <f>IF(ISNUMBER(SEARCH(#REF!,D141)),MAX($C$1:C140)+1,0)</f>
        <v>0</v>
      </c>
      <c r="D141" s="3" t="e">
        <f>#REF!</f>
        <v>#REF!</v>
      </c>
      <c r="E141" s="3" t="e">
        <f>#REF!</f>
        <v>#REF!</v>
      </c>
      <c r="F141" s="4" t="str">
        <f>IFERROR(VLOOKUP(ROWS($F$2:F141),$C$2:$E$151,2,FALSE),"")</f>
        <v/>
      </c>
      <c r="G141" s="4" t="str">
        <f>IFERROR(VLOOKUP(ROWS($F$2:F141),$C$2:$E$151,3,FALSE),"")</f>
        <v/>
      </c>
      <c r="I141" s="3">
        <f>IF(ISNUMBER(SEARCH(#REF!,J141)),MAX($I$1:I140)+1,0)</f>
        <v>0</v>
      </c>
      <c r="J141" s="3" t="e">
        <f>#REF!</f>
        <v>#REF!</v>
      </c>
      <c r="K141" s="3" t="e">
        <f>#REF!</f>
        <v>#REF!</v>
      </c>
      <c r="L141" s="4" t="str">
        <f>IFERROR(VLOOKUP(ROWS($L$2:L141),$I$2:$K$151,2,FALSE),"")</f>
        <v/>
      </c>
      <c r="M141" s="4" t="str">
        <f>IFERROR(VLOOKUP(ROWS($L$2:L141),$I$2:$K$151,3,FALSE),"")</f>
        <v/>
      </c>
      <c r="O141" s="3">
        <f>IF(ISNUMBER(SEARCH(#REF!,P141)),MAX($O$1:O140)+1,0)</f>
        <v>0</v>
      </c>
      <c r="P141" s="3" t="e">
        <f>#REF!</f>
        <v>#REF!</v>
      </c>
      <c r="Q141" s="3" t="e">
        <f>#REF!</f>
        <v>#REF!</v>
      </c>
      <c r="R141" s="4" t="str">
        <f>IFERROR(VLOOKUP(ROWS($R$2:R141),$O$2:$Q$151,2,FALSE),"")</f>
        <v/>
      </c>
      <c r="S141" s="4" t="str">
        <f>IFERROR(VLOOKUP(ROWS($R$2:R141),$O$2:$Q$151,3,FALSE),"")</f>
        <v/>
      </c>
      <c r="U141" s="5">
        <f>IF(ISNUMBER(SEARCH(#REF!,V141)),MAX($U$1:U140)+1,0)</f>
        <v>0</v>
      </c>
      <c r="V141" s="5" t="e">
        <f>#REF!</f>
        <v>#REF!</v>
      </c>
      <c r="W141" s="5" t="e">
        <f>#REF!</f>
        <v>#REF!</v>
      </c>
      <c r="X141" s="6" t="str">
        <f>IFERROR(VLOOKUP(ROWS($X$2:X141),$U$2:$W$151,2,FALSE),"")</f>
        <v/>
      </c>
      <c r="Y141" s="6" t="str">
        <f>IFERROR(VLOOKUP(ROWS($X$2:X141),$U$2:$W$151,3,FALSE),"")</f>
        <v/>
      </c>
      <c r="AA141" s="5">
        <f>IF(ISNUMBER(SEARCH(#REF!,AB141)),MAX($AA$1:AA140)+1,0)</f>
        <v>0</v>
      </c>
      <c r="AB141" s="5" t="e">
        <f>#REF!</f>
        <v>#REF!</v>
      </c>
      <c r="AC141" s="5" t="e">
        <f>#REF!</f>
        <v>#REF!</v>
      </c>
      <c r="AD141" s="6" t="str">
        <f>IFERROR(VLOOKUP(ROWS($AD$2:AD141),$AA$2:$AC$151,2,FALSE),"")</f>
        <v/>
      </c>
      <c r="AE141" s="6" t="str">
        <f>IFERROR(VLOOKUP(ROWS($AD$2:AD141),$AA$2:$AC$151,3,FALSE),"")</f>
        <v/>
      </c>
      <c r="AG141" s="7">
        <f>IF(ISNUMBER(SEARCH(#REF!,AH141)),MAX($AG$1:AG140)+1,0)</f>
        <v>0</v>
      </c>
      <c r="AH141" s="7" t="e">
        <f>#REF!</f>
        <v>#REF!</v>
      </c>
      <c r="AI141" s="7" t="e">
        <f>#REF!</f>
        <v>#REF!</v>
      </c>
      <c r="AJ141" s="8" t="str">
        <f>IFERROR(VLOOKUP(ROWS(AJ$2:AJ141),$AG$2:$AI$151,2,FALSE),"")</f>
        <v/>
      </c>
      <c r="AK141" s="8" t="str">
        <f>IFERROR(VLOOKUP(ROWS($AJ$2:AJ141),$AG$2:$AI$151,3,FALSE),"")</f>
        <v/>
      </c>
      <c r="AM141" s="7">
        <f>IF(ISNUMBER(SEARCH(#REF!,AN141)),MAX($AM$1:AM140)+1,0)</f>
        <v>0</v>
      </c>
      <c r="AN141" s="7" t="e">
        <f>#REF!</f>
        <v>#REF!</v>
      </c>
      <c r="AO141" s="7" t="e">
        <f>#REF!</f>
        <v>#REF!</v>
      </c>
      <c r="AP141" s="8" t="str">
        <f>IFERROR(VLOOKUP(ROWS($AP$2:AP141),$AM$2:$AO$151,2,FALSE),"")</f>
        <v/>
      </c>
      <c r="AQ141" s="8" t="str">
        <f>IFERROR(VLOOKUP(ROWS($AP$2:AP141),$AM$2:$AO$151,3,FALSE),"")</f>
        <v/>
      </c>
      <c r="AS141" s="9">
        <f>IF(ISNUMBER(SEARCH(#REF!,AT141)),MAX($AS$1:AS140)+1,0)</f>
        <v>0</v>
      </c>
      <c r="AT141" s="9" t="e">
        <f>#REF!</f>
        <v>#REF!</v>
      </c>
      <c r="AU141" s="9" t="e">
        <f>#REF!</f>
        <v>#REF!</v>
      </c>
      <c r="AV141" s="10" t="str">
        <f>IFERROR(VLOOKUP(ROWS(AV$2:AV141),$AS$2:$AU$151,2,FALSE),"")</f>
        <v/>
      </c>
      <c r="AW141" s="10" t="str">
        <f>IFERROR(VLOOKUP(ROWS($AV$2:AV141),$AS$2:$AU$151,3,FALSE),"")</f>
        <v/>
      </c>
      <c r="AY141" s="9">
        <f>IF(ISNUMBER(SEARCH(#REF!,AZ141)),MAX($AY$1:AY140)+1,0)</f>
        <v>0</v>
      </c>
      <c r="AZ141" s="9" t="e">
        <f>#REF!</f>
        <v>#REF!</v>
      </c>
      <c r="BA141" s="9" t="e">
        <f>#REF!</f>
        <v>#REF!</v>
      </c>
      <c r="BB141" s="10" t="str">
        <f>IFERROR(VLOOKUP(ROWS($BB$2:BB141),$AY$2:$BA$151,2,FALSE),"")</f>
        <v/>
      </c>
      <c r="BC141" s="10" t="str">
        <f>IFERROR(VLOOKUP(ROWS($BB$2:BB141),$AY$2:$BA$151,3,FALSE),"")</f>
        <v/>
      </c>
    </row>
    <row r="142" spans="3:55" x14ac:dyDescent="0.25">
      <c r="C142" s="3">
        <f>IF(ISNUMBER(SEARCH(#REF!,D142)),MAX($C$1:C141)+1,0)</f>
        <v>0</v>
      </c>
      <c r="D142" s="3" t="e">
        <f>#REF!</f>
        <v>#REF!</v>
      </c>
      <c r="E142" s="3" t="e">
        <f>#REF!</f>
        <v>#REF!</v>
      </c>
      <c r="F142" s="4" t="str">
        <f>IFERROR(VLOOKUP(ROWS($F$2:F142),$C$2:$E$151,2,FALSE),"")</f>
        <v/>
      </c>
      <c r="G142" s="4" t="str">
        <f>IFERROR(VLOOKUP(ROWS($F$2:F142),$C$2:$E$151,3,FALSE),"")</f>
        <v/>
      </c>
      <c r="I142" s="3">
        <f>IF(ISNUMBER(SEARCH(#REF!,J142)),MAX($I$1:I141)+1,0)</f>
        <v>0</v>
      </c>
      <c r="J142" s="3" t="e">
        <f>#REF!</f>
        <v>#REF!</v>
      </c>
      <c r="K142" s="3" t="e">
        <f>#REF!</f>
        <v>#REF!</v>
      </c>
      <c r="L142" s="4" t="str">
        <f>IFERROR(VLOOKUP(ROWS($L$2:L142),$I$2:$K$151,2,FALSE),"")</f>
        <v/>
      </c>
      <c r="M142" s="4" t="str">
        <f>IFERROR(VLOOKUP(ROWS($L$2:L142),$I$2:$K$151,3,FALSE),"")</f>
        <v/>
      </c>
      <c r="O142" s="3">
        <f>IF(ISNUMBER(SEARCH(#REF!,P142)),MAX($O$1:O141)+1,0)</f>
        <v>0</v>
      </c>
      <c r="P142" s="3" t="e">
        <f>#REF!</f>
        <v>#REF!</v>
      </c>
      <c r="Q142" s="3" t="e">
        <f>#REF!</f>
        <v>#REF!</v>
      </c>
      <c r="R142" s="4" t="str">
        <f>IFERROR(VLOOKUP(ROWS($R$2:R142),$O$2:$Q$151,2,FALSE),"")</f>
        <v/>
      </c>
      <c r="S142" s="4" t="str">
        <f>IFERROR(VLOOKUP(ROWS($R$2:R142),$O$2:$Q$151,3,FALSE),"")</f>
        <v/>
      </c>
      <c r="U142" s="5">
        <f>IF(ISNUMBER(SEARCH(#REF!,V142)),MAX($U$1:U141)+1,0)</f>
        <v>0</v>
      </c>
      <c r="V142" s="5" t="e">
        <f>#REF!</f>
        <v>#REF!</v>
      </c>
      <c r="W142" s="5" t="e">
        <f>#REF!</f>
        <v>#REF!</v>
      </c>
      <c r="X142" s="6" t="str">
        <f>IFERROR(VLOOKUP(ROWS($X$2:X142),$U$2:$W$151,2,FALSE),"")</f>
        <v/>
      </c>
      <c r="Y142" s="6" t="str">
        <f>IFERROR(VLOOKUP(ROWS($X$2:X142),$U$2:$W$151,3,FALSE),"")</f>
        <v/>
      </c>
      <c r="AA142" s="5">
        <f>IF(ISNUMBER(SEARCH(#REF!,AB142)),MAX($AA$1:AA141)+1,0)</f>
        <v>0</v>
      </c>
      <c r="AB142" s="5" t="e">
        <f>#REF!</f>
        <v>#REF!</v>
      </c>
      <c r="AC142" s="5" t="e">
        <f>#REF!</f>
        <v>#REF!</v>
      </c>
      <c r="AD142" s="6" t="str">
        <f>IFERROR(VLOOKUP(ROWS($AD$2:AD142),$AA$2:$AC$151,2,FALSE),"")</f>
        <v/>
      </c>
      <c r="AE142" s="6" t="str">
        <f>IFERROR(VLOOKUP(ROWS($AD$2:AD142),$AA$2:$AC$151,3,FALSE),"")</f>
        <v/>
      </c>
      <c r="AG142" s="7">
        <f>IF(ISNUMBER(SEARCH(#REF!,AH142)),MAX($AG$1:AG141)+1,0)</f>
        <v>0</v>
      </c>
      <c r="AH142" s="7" t="e">
        <f>#REF!</f>
        <v>#REF!</v>
      </c>
      <c r="AI142" s="7" t="e">
        <f>#REF!</f>
        <v>#REF!</v>
      </c>
      <c r="AJ142" s="8" t="str">
        <f>IFERROR(VLOOKUP(ROWS(AJ$2:AJ142),$AG$2:$AI$151,2,FALSE),"")</f>
        <v/>
      </c>
      <c r="AK142" s="8" t="str">
        <f>IFERROR(VLOOKUP(ROWS($AJ$2:AJ142),$AG$2:$AI$151,3,FALSE),"")</f>
        <v/>
      </c>
      <c r="AM142" s="7">
        <f>IF(ISNUMBER(SEARCH(#REF!,AN142)),MAX($AM$1:AM141)+1,0)</f>
        <v>0</v>
      </c>
      <c r="AN142" s="7" t="e">
        <f>#REF!</f>
        <v>#REF!</v>
      </c>
      <c r="AO142" s="7" t="e">
        <f>#REF!</f>
        <v>#REF!</v>
      </c>
      <c r="AP142" s="8" t="str">
        <f>IFERROR(VLOOKUP(ROWS($AP$2:AP142),$AM$2:$AO$151,2,FALSE),"")</f>
        <v/>
      </c>
      <c r="AQ142" s="8" t="str">
        <f>IFERROR(VLOOKUP(ROWS($AP$2:AP142),$AM$2:$AO$151,3,FALSE),"")</f>
        <v/>
      </c>
      <c r="AS142" s="9">
        <f>IF(ISNUMBER(SEARCH(#REF!,AT142)),MAX($AS$1:AS141)+1,0)</f>
        <v>0</v>
      </c>
      <c r="AT142" s="9" t="e">
        <f>#REF!</f>
        <v>#REF!</v>
      </c>
      <c r="AU142" s="9" t="e">
        <f>#REF!</f>
        <v>#REF!</v>
      </c>
      <c r="AV142" s="10" t="str">
        <f>IFERROR(VLOOKUP(ROWS(AV$2:AV142),$AS$2:$AU$151,2,FALSE),"")</f>
        <v/>
      </c>
      <c r="AW142" s="10" t="str">
        <f>IFERROR(VLOOKUP(ROWS($AV$2:AV142),$AS$2:$AU$151,3,FALSE),"")</f>
        <v/>
      </c>
      <c r="AY142" s="9">
        <f>IF(ISNUMBER(SEARCH(#REF!,AZ142)),MAX($AY$1:AY141)+1,0)</f>
        <v>0</v>
      </c>
      <c r="AZ142" s="9" t="e">
        <f>#REF!</f>
        <v>#REF!</v>
      </c>
      <c r="BA142" s="9" t="e">
        <f>#REF!</f>
        <v>#REF!</v>
      </c>
      <c r="BB142" s="10" t="str">
        <f>IFERROR(VLOOKUP(ROWS($BB$2:BB142),$AY$2:$BA$151,2,FALSE),"")</f>
        <v/>
      </c>
      <c r="BC142" s="10" t="str">
        <f>IFERROR(VLOOKUP(ROWS($BB$2:BB142),$AY$2:$BA$151,3,FALSE),"")</f>
        <v/>
      </c>
    </row>
    <row r="143" spans="3:55" x14ac:dyDescent="0.25">
      <c r="C143" s="3">
        <f>IF(ISNUMBER(SEARCH(#REF!,D143)),MAX($C$1:C142)+1,0)</f>
        <v>0</v>
      </c>
      <c r="D143" s="3" t="e">
        <f>#REF!</f>
        <v>#REF!</v>
      </c>
      <c r="E143" s="3" t="e">
        <f>#REF!</f>
        <v>#REF!</v>
      </c>
      <c r="F143" s="4" t="str">
        <f>IFERROR(VLOOKUP(ROWS($F$2:F143),$C$2:$E$151,2,FALSE),"")</f>
        <v/>
      </c>
      <c r="G143" s="4" t="str">
        <f>IFERROR(VLOOKUP(ROWS($F$2:F143),$C$2:$E$151,3,FALSE),"")</f>
        <v/>
      </c>
      <c r="I143" s="3">
        <f>IF(ISNUMBER(SEARCH(#REF!,J143)),MAX($I$1:I142)+1,0)</f>
        <v>0</v>
      </c>
      <c r="J143" s="3" t="e">
        <f>#REF!</f>
        <v>#REF!</v>
      </c>
      <c r="K143" s="3" t="e">
        <f>#REF!</f>
        <v>#REF!</v>
      </c>
      <c r="L143" s="4" t="str">
        <f>IFERROR(VLOOKUP(ROWS($L$2:L143),$I$2:$K$151,2,FALSE),"")</f>
        <v/>
      </c>
      <c r="M143" s="4" t="str">
        <f>IFERROR(VLOOKUP(ROWS($L$2:L143),$I$2:$K$151,3,FALSE),"")</f>
        <v/>
      </c>
      <c r="O143" s="3">
        <f>IF(ISNUMBER(SEARCH(#REF!,P143)),MAX($O$1:O142)+1,0)</f>
        <v>0</v>
      </c>
      <c r="P143" s="3" t="e">
        <f>#REF!</f>
        <v>#REF!</v>
      </c>
      <c r="Q143" s="3" t="e">
        <f>#REF!</f>
        <v>#REF!</v>
      </c>
      <c r="R143" s="4" t="str">
        <f>IFERROR(VLOOKUP(ROWS($R$2:R143),$O$2:$Q$151,2,FALSE),"")</f>
        <v/>
      </c>
      <c r="S143" s="4" t="str">
        <f>IFERROR(VLOOKUP(ROWS($R$2:R143),$O$2:$Q$151,3,FALSE),"")</f>
        <v/>
      </c>
      <c r="U143" s="5">
        <f>IF(ISNUMBER(SEARCH(#REF!,V143)),MAX($U$1:U142)+1,0)</f>
        <v>0</v>
      </c>
      <c r="V143" s="5" t="e">
        <f>#REF!</f>
        <v>#REF!</v>
      </c>
      <c r="W143" s="5" t="e">
        <f>#REF!</f>
        <v>#REF!</v>
      </c>
      <c r="X143" s="6" t="str">
        <f>IFERROR(VLOOKUP(ROWS($X$2:X143),$U$2:$W$151,2,FALSE),"")</f>
        <v/>
      </c>
      <c r="Y143" s="6" t="str">
        <f>IFERROR(VLOOKUP(ROWS($X$2:X143),$U$2:$W$151,3,FALSE),"")</f>
        <v/>
      </c>
      <c r="AA143" s="5">
        <f>IF(ISNUMBER(SEARCH(#REF!,AB143)),MAX($AA$1:AA142)+1,0)</f>
        <v>0</v>
      </c>
      <c r="AB143" s="5" t="e">
        <f>#REF!</f>
        <v>#REF!</v>
      </c>
      <c r="AC143" s="5" t="e">
        <f>#REF!</f>
        <v>#REF!</v>
      </c>
      <c r="AD143" s="6" t="str">
        <f>IFERROR(VLOOKUP(ROWS($AD$2:AD143),$AA$2:$AC$151,2,FALSE),"")</f>
        <v/>
      </c>
      <c r="AE143" s="6" t="str">
        <f>IFERROR(VLOOKUP(ROWS($AD$2:AD143),$AA$2:$AC$151,3,FALSE),"")</f>
        <v/>
      </c>
      <c r="AG143" s="7">
        <f>IF(ISNUMBER(SEARCH(#REF!,AH143)),MAX($AG$1:AG142)+1,0)</f>
        <v>0</v>
      </c>
      <c r="AH143" s="7" t="e">
        <f>#REF!</f>
        <v>#REF!</v>
      </c>
      <c r="AI143" s="7" t="e">
        <f>#REF!</f>
        <v>#REF!</v>
      </c>
      <c r="AJ143" s="8" t="str">
        <f>IFERROR(VLOOKUP(ROWS(AJ$2:AJ143),$AG$2:$AI$151,2,FALSE),"")</f>
        <v/>
      </c>
      <c r="AK143" s="8" t="str">
        <f>IFERROR(VLOOKUP(ROWS($AJ$2:AJ143),$AG$2:$AI$151,3,FALSE),"")</f>
        <v/>
      </c>
      <c r="AM143" s="7">
        <f>IF(ISNUMBER(SEARCH(#REF!,AN143)),MAX($AM$1:AM142)+1,0)</f>
        <v>0</v>
      </c>
      <c r="AN143" s="7" t="e">
        <f>#REF!</f>
        <v>#REF!</v>
      </c>
      <c r="AO143" s="7" t="e">
        <f>#REF!</f>
        <v>#REF!</v>
      </c>
      <c r="AP143" s="8" t="str">
        <f>IFERROR(VLOOKUP(ROWS($AP$2:AP143),$AM$2:$AO$151,2,FALSE),"")</f>
        <v/>
      </c>
      <c r="AQ143" s="8" t="str">
        <f>IFERROR(VLOOKUP(ROWS($AP$2:AP143),$AM$2:$AO$151,3,FALSE),"")</f>
        <v/>
      </c>
      <c r="AS143" s="9">
        <f>IF(ISNUMBER(SEARCH(#REF!,AT143)),MAX($AS$1:AS142)+1,0)</f>
        <v>0</v>
      </c>
      <c r="AT143" s="9" t="e">
        <f>#REF!</f>
        <v>#REF!</v>
      </c>
      <c r="AU143" s="9" t="e">
        <f>#REF!</f>
        <v>#REF!</v>
      </c>
      <c r="AV143" s="10" t="str">
        <f>IFERROR(VLOOKUP(ROWS(AV$2:AV143),$AS$2:$AU$151,2,FALSE),"")</f>
        <v/>
      </c>
      <c r="AW143" s="10" t="str">
        <f>IFERROR(VLOOKUP(ROWS($AV$2:AV143),$AS$2:$AU$151,3,FALSE),"")</f>
        <v/>
      </c>
      <c r="AY143" s="9">
        <f>IF(ISNUMBER(SEARCH(#REF!,AZ143)),MAX($AY$1:AY142)+1,0)</f>
        <v>0</v>
      </c>
      <c r="AZ143" s="9" t="e">
        <f>#REF!</f>
        <v>#REF!</v>
      </c>
      <c r="BA143" s="9" t="e">
        <f>#REF!</f>
        <v>#REF!</v>
      </c>
      <c r="BB143" s="10" t="str">
        <f>IFERROR(VLOOKUP(ROWS($BB$2:BB143),$AY$2:$BA$151,2,FALSE),"")</f>
        <v/>
      </c>
      <c r="BC143" s="10" t="str">
        <f>IFERROR(VLOOKUP(ROWS($BB$2:BB143),$AY$2:$BA$151,3,FALSE),"")</f>
        <v/>
      </c>
    </row>
    <row r="144" spans="3:55" x14ac:dyDescent="0.25">
      <c r="C144" s="3">
        <f>IF(ISNUMBER(SEARCH(#REF!,D144)),MAX($C$1:C143)+1,0)</f>
        <v>0</v>
      </c>
      <c r="D144" s="3" t="e">
        <f>#REF!</f>
        <v>#REF!</v>
      </c>
      <c r="E144" s="3" t="e">
        <f>#REF!</f>
        <v>#REF!</v>
      </c>
      <c r="F144" s="4" t="str">
        <f>IFERROR(VLOOKUP(ROWS($F$2:F144),$C$2:$E$151,2,FALSE),"")</f>
        <v/>
      </c>
      <c r="G144" s="4" t="str">
        <f>IFERROR(VLOOKUP(ROWS($F$2:F144),$C$2:$E$151,3,FALSE),"")</f>
        <v/>
      </c>
      <c r="I144" s="3">
        <f>IF(ISNUMBER(SEARCH(#REF!,J144)),MAX($I$1:I143)+1,0)</f>
        <v>0</v>
      </c>
      <c r="J144" s="3" t="e">
        <f>#REF!</f>
        <v>#REF!</v>
      </c>
      <c r="K144" s="3" t="e">
        <f>#REF!</f>
        <v>#REF!</v>
      </c>
      <c r="L144" s="4" t="str">
        <f>IFERROR(VLOOKUP(ROWS($L$2:L144),$I$2:$K$151,2,FALSE),"")</f>
        <v/>
      </c>
      <c r="M144" s="4" t="str">
        <f>IFERROR(VLOOKUP(ROWS($L$2:L144),$I$2:$K$151,3,FALSE),"")</f>
        <v/>
      </c>
      <c r="O144" s="3">
        <f>IF(ISNUMBER(SEARCH(#REF!,P144)),MAX($O$1:O143)+1,0)</f>
        <v>0</v>
      </c>
      <c r="P144" s="3" t="e">
        <f>#REF!</f>
        <v>#REF!</v>
      </c>
      <c r="Q144" s="3" t="e">
        <f>#REF!</f>
        <v>#REF!</v>
      </c>
      <c r="R144" s="4" t="str">
        <f>IFERROR(VLOOKUP(ROWS($R$2:R144),$O$2:$Q$151,2,FALSE),"")</f>
        <v/>
      </c>
      <c r="S144" s="4" t="str">
        <f>IFERROR(VLOOKUP(ROWS($R$2:R144),$O$2:$Q$151,3,FALSE),"")</f>
        <v/>
      </c>
      <c r="U144" s="5">
        <f>IF(ISNUMBER(SEARCH(#REF!,V144)),MAX($U$1:U143)+1,0)</f>
        <v>0</v>
      </c>
      <c r="V144" s="5" t="e">
        <f>#REF!</f>
        <v>#REF!</v>
      </c>
      <c r="W144" s="5" t="e">
        <f>#REF!</f>
        <v>#REF!</v>
      </c>
      <c r="X144" s="6" t="str">
        <f>IFERROR(VLOOKUP(ROWS($X$2:X144),$U$2:$W$151,2,FALSE),"")</f>
        <v/>
      </c>
      <c r="Y144" s="6" t="str">
        <f>IFERROR(VLOOKUP(ROWS($X$2:X144),$U$2:$W$151,3,FALSE),"")</f>
        <v/>
      </c>
      <c r="AA144" s="5">
        <f>IF(ISNUMBER(SEARCH(#REF!,AB144)),MAX($AA$1:AA143)+1,0)</f>
        <v>0</v>
      </c>
      <c r="AB144" s="5" t="e">
        <f>#REF!</f>
        <v>#REF!</v>
      </c>
      <c r="AC144" s="5" t="e">
        <f>#REF!</f>
        <v>#REF!</v>
      </c>
      <c r="AD144" s="6" t="str">
        <f>IFERROR(VLOOKUP(ROWS($AD$2:AD144),$AA$2:$AC$151,2,FALSE),"")</f>
        <v/>
      </c>
      <c r="AE144" s="6" t="str">
        <f>IFERROR(VLOOKUP(ROWS($AD$2:AD144),$AA$2:$AC$151,3,FALSE),"")</f>
        <v/>
      </c>
      <c r="AG144" s="7">
        <f>IF(ISNUMBER(SEARCH(#REF!,AH144)),MAX($AG$1:AG143)+1,0)</f>
        <v>0</v>
      </c>
      <c r="AH144" s="7" t="e">
        <f>#REF!</f>
        <v>#REF!</v>
      </c>
      <c r="AI144" s="7" t="e">
        <f>#REF!</f>
        <v>#REF!</v>
      </c>
      <c r="AJ144" s="8" t="str">
        <f>IFERROR(VLOOKUP(ROWS(AJ$2:AJ144),$AG$2:$AI$151,2,FALSE),"")</f>
        <v/>
      </c>
      <c r="AK144" s="8" t="str">
        <f>IFERROR(VLOOKUP(ROWS($AJ$2:AJ144),$AG$2:$AI$151,3,FALSE),"")</f>
        <v/>
      </c>
      <c r="AM144" s="7">
        <f>IF(ISNUMBER(SEARCH(#REF!,AN144)),MAX($AM$1:AM143)+1,0)</f>
        <v>0</v>
      </c>
      <c r="AN144" s="7" t="e">
        <f>#REF!</f>
        <v>#REF!</v>
      </c>
      <c r="AO144" s="7" t="e">
        <f>#REF!</f>
        <v>#REF!</v>
      </c>
      <c r="AP144" s="8" t="str">
        <f>IFERROR(VLOOKUP(ROWS($AP$2:AP144),$AM$2:$AO$151,2,FALSE),"")</f>
        <v/>
      </c>
      <c r="AQ144" s="8" t="str">
        <f>IFERROR(VLOOKUP(ROWS($AP$2:AP144),$AM$2:$AO$151,3,FALSE),"")</f>
        <v/>
      </c>
      <c r="AS144" s="9">
        <f>IF(ISNUMBER(SEARCH(#REF!,AT144)),MAX($AS$1:AS143)+1,0)</f>
        <v>0</v>
      </c>
      <c r="AT144" s="9" t="e">
        <f>#REF!</f>
        <v>#REF!</v>
      </c>
      <c r="AU144" s="9" t="e">
        <f>#REF!</f>
        <v>#REF!</v>
      </c>
      <c r="AV144" s="10" t="str">
        <f>IFERROR(VLOOKUP(ROWS(AV$2:AV144),$AS$2:$AU$151,2,FALSE),"")</f>
        <v/>
      </c>
      <c r="AW144" s="10" t="str">
        <f>IFERROR(VLOOKUP(ROWS($AV$2:AV144),$AS$2:$AU$151,3,FALSE),"")</f>
        <v/>
      </c>
      <c r="AY144" s="9">
        <f>IF(ISNUMBER(SEARCH(#REF!,AZ144)),MAX($AY$1:AY143)+1,0)</f>
        <v>0</v>
      </c>
      <c r="AZ144" s="9" t="e">
        <f>#REF!</f>
        <v>#REF!</v>
      </c>
      <c r="BA144" s="9" t="e">
        <f>#REF!</f>
        <v>#REF!</v>
      </c>
      <c r="BB144" s="10" t="str">
        <f>IFERROR(VLOOKUP(ROWS($BB$2:BB144),$AY$2:$BA$151,2,FALSE),"")</f>
        <v/>
      </c>
      <c r="BC144" s="10" t="str">
        <f>IFERROR(VLOOKUP(ROWS($BB$2:BB144),$AY$2:$BA$151,3,FALSE),"")</f>
        <v/>
      </c>
    </row>
    <row r="145" spans="3:55" x14ac:dyDescent="0.25">
      <c r="C145" s="3">
        <f>IF(ISNUMBER(SEARCH(#REF!,D145)),MAX($C$1:C144)+1,0)</f>
        <v>0</v>
      </c>
      <c r="D145" s="3" t="e">
        <f>#REF!</f>
        <v>#REF!</v>
      </c>
      <c r="E145" s="3" t="e">
        <f>#REF!</f>
        <v>#REF!</v>
      </c>
      <c r="F145" s="4" t="str">
        <f>IFERROR(VLOOKUP(ROWS($F$2:F145),$C$2:$E$151,2,FALSE),"")</f>
        <v/>
      </c>
      <c r="G145" s="4" t="str">
        <f>IFERROR(VLOOKUP(ROWS($F$2:F145),$C$2:$E$151,3,FALSE),"")</f>
        <v/>
      </c>
      <c r="I145" s="3">
        <f>IF(ISNUMBER(SEARCH(#REF!,J145)),MAX($I$1:I144)+1,0)</f>
        <v>0</v>
      </c>
      <c r="J145" s="3" t="e">
        <f>#REF!</f>
        <v>#REF!</v>
      </c>
      <c r="K145" s="3" t="e">
        <f>#REF!</f>
        <v>#REF!</v>
      </c>
      <c r="L145" s="4" t="str">
        <f>IFERROR(VLOOKUP(ROWS($L$2:L145),$I$2:$K$151,2,FALSE),"")</f>
        <v/>
      </c>
      <c r="M145" s="4" t="str">
        <f>IFERROR(VLOOKUP(ROWS($L$2:L145),$I$2:$K$151,3,FALSE),"")</f>
        <v/>
      </c>
      <c r="O145" s="3">
        <f>IF(ISNUMBER(SEARCH(#REF!,P145)),MAX($O$1:O144)+1,0)</f>
        <v>0</v>
      </c>
      <c r="P145" s="3" t="e">
        <f>#REF!</f>
        <v>#REF!</v>
      </c>
      <c r="Q145" s="3" t="e">
        <f>#REF!</f>
        <v>#REF!</v>
      </c>
      <c r="R145" s="4" t="str">
        <f>IFERROR(VLOOKUP(ROWS($R$2:R145),$O$2:$Q$151,2,FALSE),"")</f>
        <v/>
      </c>
      <c r="S145" s="4" t="str">
        <f>IFERROR(VLOOKUP(ROWS($R$2:R145),$O$2:$Q$151,3,FALSE),"")</f>
        <v/>
      </c>
      <c r="U145" s="5">
        <f>IF(ISNUMBER(SEARCH(#REF!,V145)),MAX($U$1:U144)+1,0)</f>
        <v>0</v>
      </c>
      <c r="V145" s="5" t="e">
        <f>#REF!</f>
        <v>#REF!</v>
      </c>
      <c r="W145" s="5" t="e">
        <f>#REF!</f>
        <v>#REF!</v>
      </c>
      <c r="X145" s="6" t="str">
        <f>IFERROR(VLOOKUP(ROWS($X$2:X145),$U$2:$W$151,2,FALSE),"")</f>
        <v/>
      </c>
      <c r="Y145" s="6" t="str">
        <f>IFERROR(VLOOKUP(ROWS($X$2:X145),$U$2:$W$151,3,FALSE),"")</f>
        <v/>
      </c>
      <c r="AA145" s="5">
        <f>IF(ISNUMBER(SEARCH(#REF!,AB145)),MAX($AA$1:AA144)+1,0)</f>
        <v>0</v>
      </c>
      <c r="AB145" s="5" t="e">
        <f>#REF!</f>
        <v>#REF!</v>
      </c>
      <c r="AC145" s="5" t="e">
        <f>#REF!</f>
        <v>#REF!</v>
      </c>
      <c r="AD145" s="6" t="str">
        <f>IFERROR(VLOOKUP(ROWS($AD$2:AD145),$AA$2:$AC$151,2,FALSE),"")</f>
        <v/>
      </c>
      <c r="AE145" s="6" t="str">
        <f>IFERROR(VLOOKUP(ROWS($AD$2:AD145),$AA$2:$AC$151,3,FALSE),"")</f>
        <v/>
      </c>
      <c r="AG145" s="7">
        <f>IF(ISNUMBER(SEARCH(#REF!,AH145)),MAX($AG$1:AG144)+1,0)</f>
        <v>0</v>
      </c>
      <c r="AH145" s="7" t="e">
        <f>#REF!</f>
        <v>#REF!</v>
      </c>
      <c r="AI145" s="7" t="e">
        <f>#REF!</f>
        <v>#REF!</v>
      </c>
      <c r="AJ145" s="8" t="str">
        <f>IFERROR(VLOOKUP(ROWS(AJ$2:AJ145),$AG$2:$AI$151,2,FALSE),"")</f>
        <v/>
      </c>
      <c r="AK145" s="8" t="str">
        <f>IFERROR(VLOOKUP(ROWS($AJ$2:AJ145),$AG$2:$AI$151,3,FALSE),"")</f>
        <v/>
      </c>
      <c r="AM145" s="7">
        <f>IF(ISNUMBER(SEARCH(#REF!,AN145)),MAX($AM$1:AM144)+1,0)</f>
        <v>0</v>
      </c>
      <c r="AN145" s="7" t="e">
        <f>#REF!</f>
        <v>#REF!</v>
      </c>
      <c r="AO145" s="7" t="e">
        <f>#REF!</f>
        <v>#REF!</v>
      </c>
      <c r="AP145" s="8" t="str">
        <f>IFERROR(VLOOKUP(ROWS($AP$2:AP145),$AM$2:$AO$151,2,FALSE),"")</f>
        <v/>
      </c>
      <c r="AQ145" s="8" t="str">
        <f>IFERROR(VLOOKUP(ROWS($AP$2:AP145),$AM$2:$AO$151,3,FALSE),"")</f>
        <v/>
      </c>
      <c r="AS145" s="9">
        <f>IF(ISNUMBER(SEARCH(#REF!,AT145)),MAX($AS$1:AS144)+1,0)</f>
        <v>0</v>
      </c>
      <c r="AT145" s="9" t="e">
        <f>#REF!</f>
        <v>#REF!</v>
      </c>
      <c r="AU145" s="9" t="e">
        <f>#REF!</f>
        <v>#REF!</v>
      </c>
      <c r="AV145" s="10" t="str">
        <f>IFERROR(VLOOKUP(ROWS(AV$2:AV145),$AS$2:$AU$151,2,FALSE),"")</f>
        <v/>
      </c>
      <c r="AW145" s="10" t="str">
        <f>IFERROR(VLOOKUP(ROWS($AV$2:AV145),$AS$2:$AU$151,3,FALSE),"")</f>
        <v/>
      </c>
      <c r="AY145" s="9">
        <f>IF(ISNUMBER(SEARCH(#REF!,AZ145)),MAX($AY$1:AY144)+1,0)</f>
        <v>0</v>
      </c>
      <c r="AZ145" s="9" t="e">
        <f>#REF!</f>
        <v>#REF!</v>
      </c>
      <c r="BA145" s="9" t="e">
        <f>#REF!</f>
        <v>#REF!</v>
      </c>
      <c r="BB145" s="10" t="str">
        <f>IFERROR(VLOOKUP(ROWS($BB$2:BB145),$AY$2:$BA$151,2,FALSE),"")</f>
        <v/>
      </c>
      <c r="BC145" s="10" t="str">
        <f>IFERROR(VLOOKUP(ROWS($BB$2:BB145),$AY$2:$BA$151,3,FALSE),"")</f>
        <v/>
      </c>
    </row>
    <row r="146" spans="3:55" x14ac:dyDescent="0.25">
      <c r="C146" s="3">
        <f>IF(ISNUMBER(SEARCH(#REF!,D146)),MAX($C$1:C145)+1,0)</f>
        <v>0</v>
      </c>
      <c r="D146" s="3" t="e">
        <f>#REF!</f>
        <v>#REF!</v>
      </c>
      <c r="E146" s="3" t="e">
        <f>#REF!</f>
        <v>#REF!</v>
      </c>
      <c r="F146" s="4" t="str">
        <f>IFERROR(VLOOKUP(ROWS($F$2:F146),$C$2:$E$151,2,FALSE),"")</f>
        <v/>
      </c>
      <c r="G146" s="4" t="str">
        <f>IFERROR(VLOOKUP(ROWS($F$2:F146),$C$2:$E$151,3,FALSE),"")</f>
        <v/>
      </c>
      <c r="I146" s="3">
        <f>IF(ISNUMBER(SEARCH(#REF!,J146)),MAX($I$1:I145)+1,0)</f>
        <v>0</v>
      </c>
      <c r="J146" s="3" t="e">
        <f>#REF!</f>
        <v>#REF!</v>
      </c>
      <c r="K146" s="3" t="e">
        <f>#REF!</f>
        <v>#REF!</v>
      </c>
      <c r="L146" s="4" t="str">
        <f>IFERROR(VLOOKUP(ROWS($L$2:L146),$I$2:$K$151,2,FALSE),"")</f>
        <v/>
      </c>
      <c r="M146" s="4" t="str">
        <f>IFERROR(VLOOKUP(ROWS($L$2:L146),$I$2:$K$151,3,FALSE),"")</f>
        <v/>
      </c>
      <c r="O146" s="3">
        <f>IF(ISNUMBER(SEARCH(#REF!,P146)),MAX($O$1:O145)+1,0)</f>
        <v>0</v>
      </c>
      <c r="P146" s="3" t="e">
        <f>#REF!</f>
        <v>#REF!</v>
      </c>
      <c r="Q146" s="3" t="e">
        <f>#REF!</f>
        <v>#REF!</v>
      </c>
      <c r="R146" s="4" t="str">
        <f>IFERROR(VLOOKUP(ROWS($R$2:R146),$O$2:$Q$151,2,FALSE),"")</f>
        <v/>
      </c>
      <c r="S146" s="4" t="str">
        <f>IFERROR(VLOOKUP(ROWS($R$2:R146),$O$2:$Q$151,3,FALSE),"")</f>
        <v/>
      </c>
      <c r="U146" s="5">
        <f>IF(ISNUMBER(SEARCH(#REF!,V146)),MAX($U$1:U145)+1,0)</f>
        <v>0</v>
      </c>
      <c r="V146" s="5" t="e">
        <f>#REF!</f>
        <v>#REF!</v>
      </c>
      <c r="W146" s="5" t="e">
        <f>#REF!</f>
        <v>#REF!</v>
      </c>
      <c r="X146" s="6" t="str">
        <f>IFERROR(VLOOKUP(ROWS($X$2:X146),$U$2:$W$151,2,FALSE),"")</f>
        <v/>
      </c>
      <c r="Y146" s="6" t="str">
        <f>IFERROR(VLOOKUP(ROWS($X$2:X146),$U$2:$W$151,3,FALSE),"")</f>
        <v/>
      </c>
      <c r="AA146" s="5">
        <f>IF(ISNUMBER(SEARCH(#REF!,AB146)),MAX($AA$1:AA145)+1,0)</f>
        <v>0</v>
      </c>
      <c r="AB146" s="5" t="e">
        <f>#REF!</f>
        <v>#REF!</v>
      </c>
      <c r="AC146" s="5" t="e">
        <f>#REF!</f>
        <v>#REF!</v>
      </c>
      <c r="AD146" s="6" t="str">
        <f>IFERROR(VLOOKUP(ROWS($AD$2:AD146),$AA$2:$AC$151,2,FALSE),"")</f>
        <v/>
      </c>
      <c r="AE146" s="6" t="str">
        <f>IFERROR(VLOOKUP(ROWS($AD$2:AD146),$AA$2:$AC$151,3,FALSE),"")</f>
        <v/>
      </c>
      <c r="AG146" s="7">
        <f>IF(ISNUMBER(SEARCH(#REF!,AH146)),MAX($AG$1:AG145)+1,0)</f>
        <v>0</v>
      </c>
      <c r="AH146" s="7" t="e">
        <f>#REF!</f>
        <v>#REF!</v>
      </c>
      <c r="AI146" s="7" t="e">
        <f>#REF!</f>
        <v>#REF!</v>
      </c>
      <c r="AJ146" s="8" t="str">
        <f>IFERROR(VLOOKUP(ROWS(AJ$2:AJ146),$AG$2:$AI$151,2,FALSE),"")</f>
        <v/>
      </c>
      <c r="AK146" s="8" t="str">
        <f>IFERROR(VLOOKUP(ROWS($AJ$2:AJ146),$AG$2:$AI$151,3,FALSE),"")</f>
        <v/>
      </c>
      <c r="AM146" s="7">
        <f>IF(ISNUMBER(SEARCH(#REF!,AN146)),MAX($AM$1:AM145)+1,0)</f>
        <v>0</v>
      </c>
      <c r="AN146" s="7" t="e">
        <f>#REF!</f>
        <v>#REF!</v>
      </c>
      <c r="AO146" s="7" t="e">
        <f>#REF!</f>
        <v>#REF!</v>
      </c>
      <c r="AP146" s="8" t="str">
        <f>IFERROR(VLOOKUP(ROWS($AP$2:AP146),$AM$2:$AO$151,2,FALSE),"")</f>
        <v/>
      </c>
      <c r="AQ146" s="8" t="str">
        <f>IFERROR(VLOOKUP(ROWS($AP$2:AP146),$AM$2:$AO$151,3,FALSE),"")</f>
        <v/>
      </c>
      <c r="AS146" s="9">
        <f>IF(ISNUMBER(SEARCH(#REF!,AT146)),MAX($AS$1:AS145)+1,0)</f>
        <v>0</v>
      </c>
      <c r="AT146" s="9" t="e">
        <f>#REF!</f>
        <v>#REF!</v>
      </c>
      <c r="AU146" s="9" t="e">
        <f>#REF!</f>
        <v>#REF!</v>
      </c>
      <c r="AV146" s="10" t="str">
        <f>IFERROR(VLOOKUP(ROWS(AV$2:AV146),$AS$2:$AU$151,2,FALSE),"")</f>
        <v/>
      </c>
      <c r="AW146" s="10" t="str">
        <f>IFERROR(VLOOKUP(ROWS($AV$2:AV146),$AS$2:$AU$151,3,FALSE),"")</f>
        <v/>
      </c>
      <c r="AY146" s="9">
        <f>IF(ISNUMBER(SEARCH(#REF!,AZ146)),MAX($AY$1:AY145)+1,0)</f>
        <v>0</v>
      </c>
      <c r="AZ146" s="9" t="e">
        <f>#REF!</f>
        <v>#REF!</v>
      </c>
      <c r="BA146" s="9" t="e">
        <f>#REF!</f>
        <v>#REF!</v>
      </c>
      <c r="BB146" s="10" t="str">
        <f>IFERROR(VLOOKUP(ROWS($BB$2:BB146),$AY$2:$BA$151,2,FALSE),"")</f>
        <v/>
      </c>
      <c r="BC146" s="10" t="str">
        <f>IFERROR(VLOOKUP(ROWS($BB$2:BB146),$AY$2:$BA$151,3,FALSE),"")</f>
        <v/>
      </c>
    </row>
    <row r="147" spans="3:55" x14ac:dyDescent="0.25">
      <c r="C147" s="3">
        <f>IF(ISNUMBER(SEARCH(#REF!,D147)),MAX($C$1:C146)+1,0)</f>
        <v>0</v>
      </c>
      <c r="D147" s="3" t="e">
        <f>#REF!</f>
        <v>#REF!</v>
      </c>
      <c r="E147" s="3" t="e">
        <f>#REF!</f>
        <v>#REF!</v>
      </c>
      <c r="F147" s="4" t="str">
        <f>IFERROR(VLOOKUP(ROWS($F$2:F147),$C$2:$E$151,2,FALSE),"")</f>
        <v/>
      </c>
      <c r="G147" s="4" t="str">
        <f>IFERROR(VLOOKUP(ROWS($F$2:F147),$C$2:$E$151,3,FALSE),"")</f>
        <v/>
      </c>
      <c r="I147" s="3">
        <f>IF(ISNUMBER(SEARCH(#REF!,J147)),MAX($I$1:I146)+1,0)</f>
        <v>0</v>
      </c>
      <c r="J147" s="3" t="e">
        <f>#REF!</f>
        <v>#REF!</v>
      </c>
      <c r="K147" s="3" t="e">
        <f>#REF!</f>
        <v>#REF!</v>
      </c>
      <c r="L147" s="4" t="str">
        <f>IFERROR(VLOOKUP(ROWS($L$2:L147),$I$2:$K$151,2,FALSE),"")</f>
        <v/>
      </c>
      <c r="M147" s="4" t="str">
        <f>IFERROR(VLOOKUP(ROWS($L$2:L147),$I$2:$K$151,3,FALSE),"")</f>
        <v/>
      </c>
      <c r="O147" s="3">
        <f>IF(ISNUMBER(SEARCH(#REF!,P147)),MAX($O$1:O146)+1,0)</f>
        <v>0</v>
      </c>
      <c r="P147" s="3" t="e">
        <f>#REF!</f>
        <v>#REF!</v>
      </c>
      <c r="Q147" s="3" t="e">
        <f>#REF!</f>
        <v>#REF!</v>
      </c>
      <c r="R147" s="4" t="str">
        <f>IFERROR(VLOOKUP(ROWS($R$2:R147),$O$2:$Q$151,2,FALSE),"")</f>
        <v/>
      </c>
      <c r="S147" s="4" t="str">
        <f>IFERROR(VLOOKUP(ROWS($R$2:R147),$O$2:$Q$151,3,FALSE),"")</f>
        <v/>
      </c>
      <c r="U147" s="5">
        <f>IF(ISNUMBER(SEARCH(#REF!,V147)),MAX($U$1:U146)+1,0)</f>
        <v>0</v>
      </c>
      <c r="V147" s="5" t="e">
        <f>#REF!</f>
        <v>#REF!</v>
      </c>
      <c r="W147" s="5" t="e">
        <f>#REF!</f>
        <v>#REF!</v>
      </c>
      <c r="X147" s="6" t="str">
        <f>IFERROR(VLOOKUP(ROWS($X$2:X147),$U$2:$W$151,2,FALSE),"")</f>
        <v/>
      </c>
      <c r="Y147" s="6" t="str">
        <f>IFERROR(VLOOKUP(ROWS($X$2:X147),$U$2:$W$151,3,FALSE),"")</f>
        <v/>
      </c>
      <c r="AA147" s="5">
        <f>IF(ISNUMBER(SEARCH(#REF!,AB147)),MAX($AA$1:AA146)+1,0)</f>
        <v>0</v>
      </c>
      <c r="AB147" s="5" t="e">
        <f>#REF!</f>
        <v>#REF!</v>
      </c>
      <c r="AC147" s="5" t="e">
        <f>#REF!</f>
        <v>#REF!</v>
      </c>
      <c r="AD147" s="6" t="str">
        <f>IFERROR(VLOOKUP(ROWS($AD$2:AD147),$AA$2:$AC$151,2,FALSE),"")</f>
        <v/>
      </c>
      <c r="AE147" s="6" t="str">
        <f>IFERROR(VLOOKUP(ROWS($AD$2:AD147),$AA$2:$AC$151,3,FALSE),"")</f>
        <v/>
      </c>
      <c r="AG147" s="7">
        <f>IF(ISNUMBER(SEARCH(#REF!,AH147)),MAX($AG$1:AG146)+1,0)</f>
        <v>0</v>
      </c>
      <c r="AH147" s="7" t="e">
        <f>#REF!</f>
        <v>#REF!</v>
      </c>
      <c r="AI147" s="7" t="e">
        <f>#REF!</f>
        <v>#REF!</v>
      </c>
      <c r="AJ147" s="8" t="str">
        <f>IFERROR(VLOOKUP(ROWS(AJ$2:AJ147),$AG$2:$AI$151,2,FALSE),"")</f>
        <v/>
      </c>
      <c r="AK147" s="8" t="str">
        <f>IFERROR(VLOOKUP(ROWS($AJ$2:AJ147),$AG$2:$AI$151,3,FALSE),"")</f>
        <v/>
      </c>
      <c r="AM147" s="7">
        <f>IF(ISNUMBER(SEARCH(#REF!,AN147)),MAX($AM$1:AM146)+1,0)</f>
        <v>0</v>
      </c>
      <c r="AN147" s="7" t="e">
        <f>#REF!</f>
        <v>#REF!</v>
      </c>
      <c r="AO147" s="7" t="e">
        <f>#REF!</f>
        <v>#REF!</v>
      </c>
      <c r="AP147" s="8" t="str">
        <f>IFERROR(VLOOKUP(ROWS($AP$2:AP147),$AM$2:$AO$151,2,FALSE),"")</f>
        <v/>
      </c>
      <c r="AQ147" s="8" t="str">
        <f>IFERROR(VLOOKUP(ROWS($AP$2:AP147),$AM$2:$AO$151,3,FALSE),"")</f>
        <v/>
      </c>
      <c r="AS147" s="9">
        <f>IF(ISNUMBER(SEARCH(#REF!,AT147)),MAX($AS$1:AS146)+1,0)</f>
        <v>0</v>
      </c>
      <c r="AT147" s="9" t="e">
        <f>#REF!</f>
        <v>#REF!</v>
      </c>
      <c r="AU147" s="9" t="e">
        <f>#REF!</f>
        <v>#REF!</v>
      </c>
      <c r="AV147" s="10" t="str">
        <f>IFERROR(VLOOKUP(ROWS(AV$2:AV147),$AS$2:$AU$151,2,FALSE),"")</f>
        <v/>
      </c>
      <c r="AW147" s="10" t="str">
        <f>IFERROR(VLOOKUP(ROWS($AV$2:AV147),$AS$2:$AU$151,3,FALSE),"")</f>
        <v/>
      </c>
      <c r="AY147" s="9">
        <f>IF(ISNUMBER(SEARCH(#REF!,AZ147)),MAX($AY$1:AY146)+1,0)</f>
        <v>0</v>
      </c>
      <c r="AZ147" s="9" t="e">
        <f>#REF!</f>
        <v>#REF!</v>
      </c>
      <c r="BA147" s="9" t="e">
        <f>#REF!</f>
        <v>#REF!</v>
      </c>
      <c r="BB147" s="10" t="str">
        <f>IFERROR(VLOOKUP(ROWS($BB$2:BB147),$AY$2:$BA$151,2,FALSE),"")</f>
        <v/>
      </c>
      <c r="BC147" s="10" t="str">
        <f>IFERROR(VLOOKUP(ROWS($BB$2:BB147),$AY$2:$BA$151,3,FALSE),"")</f>
        <v/>
      </c>
    </row>
    <row r="148" spans="3:55" x14ac:dyDescent="0.25">
      <c r="C148" s="3">
        <f>IF(ISNUMBER(SEARCH(#REF!,D148)),MAX($C$1:C147)+1,0)</f>
        <v>0</v>
      </c>
      <c r="D148" s="3" t="e">
        <f>#REF!</f>
        <v>#REF!</v>
      </c>
      <c r="E148" s="3" t="e">
        <f>#REF!</f>
        <v>#REF!</v>
      </c>
      <c r="F148" s="4" t="str">
        <f>IFERROR(VLOOKUP(ROWS($F$2:F148),$C$2:$E$151,2,FALSE),"")</f>
        <v/>
      </c>
      <c r="G148" s="4" t="str">
        <f>IFERROR(VLOOKUP(ROWS($F$2:F148),$C$2:$E$151,3,FALSE),"")</f>
        <v/>
      </c>
      <c r="I148" s="3">
        <f>IF(ISNUMBER(SEARCH(#REF!,J148)),MAX($I$1:I147)+1,0)</f>
        <v>0</v>
      </c>
      <c r="J148" s="3" t="e">
        <f>#REF!</f>
        <v>#REF!</v>
      </c>
      <c r="K148" s="3" t="e">
        <f>#REF!</f>
        <v>#REF!</v>
      </c>
      <c r="L148" s="4" t="str">
        <f>IFERROR(VLOOKUP(ROWS($L$2:L148),$I$2:$K$151,2,FALSE),"")</f>
        <v/>
      </c>
      <c r="M148" s="4" t="str">
        <f>IFERROR(VLOOKUP(ROWS($L$2:L148),$I$2:$K$151,3,FALSE),"")</f>
        <v/>
      </c>
      <c r="O148" s="3">
        <f>IF(ISNUMBER(SEARCH(#REF!,P148)),MAX($O$1:O147)+1,0)</f>
        <v>0</v>
      </c>
      <c r="P148" s="3" t="e">
        <f>#REF!</f>
        <v>#REF!</v>
      </c>
      <c r="Q148" s="3" t="e">
        <f>#REF!</f>
        <v>#REF!</v>
      </c>
      <c r="R148" s="4" t="str">
        <f>IFERROR(VLOOKUP(ROWS($R$2:R148),$O$2:$Q$151,2,FALSE),"")</f>
        <v/>
      </c>
      <c r="S148" s="4" t="str">
        <f>IFERROR(VLOOKUP(ROWS($R$2:R148),$O$2:$Q$151,3,FALSE),"")</f>
        <v/>
      </c>
      <c r="U148" s="5">
        <f>IF(ISNUMBER(SEARCH(#REF!,V148)),MAX($U$1:U147)+1,0)</f>
        <v>0</v>
      </c>
      <c r="V148" s="5" t="e">
        <f>#REF!</f>
        <v>#REF!</v>
      </c>
      <c r="W148" s="5" t="e">
        <f>#REF!</f>
        <v>#REF!</v>
      </c>
      <c r="X148" s="6" t="str">
        <f>IFERROR(VLOOKUP(ROWS($X$2:X148),$U$2:$W$151,2,FALSE),"")</f>
        <v/>
      </c>
      <c r="Y148" s="6" t="str">
        <f>IFERROR(VLOOKUP(ROWS($X$2:X148),$U$2:$W$151,3,FALSE),"")</f>
        <v/>
      </c>
      <c r="AA148" s="5">
        <f>IF(ISNUMBER(SEARCH(#REF!,AB148)),MAX($AA$1:AA147)+1,0)</f>
        <v>0</v>
      </c>
      <c r="AB148" s="5" t="e">
        <f>#REF!</f>
        <v>#REF!</v>
      </c>
      <c r="AC148" s="5" t="e">
        <f>#REF!</f>
        <v>#REF!</v>
      </c>
      <c r="AD148" s="6" t="str">
        <f>IFERROR(VLOOKUP(ROWS($AD$2:AD148),$AA$2:$AC$151,2,FALSE),"")</f>
        <v/>
      </c>
      <c r="AE148" s="6" t="str">
        <f>IFERROR(VLOOKUP(ROWS($AD$2:AD148),$AA$2:$AC$151,3,FALSE),"")</f>
        <v/>
      </c>
      <c r="AG148" s="7">
        <f>IF(ISNUMBER(SEARCH(#REF!,AH148)),MAX($AG$1:AG147)+1,0)</f>
        <v>0</v>
      </c>
      <c r="AH148" s="7" t="e">
        <f>#REF!</f>
        <v>#REF!</v>
      </c>
      <c r="AI148" s="7" t="e">
        <f>#REF!</f>
        <v>#REF!</v>
      </c>
      <c r="AJ148" s="8" t="str">
        <f>IFERROR(VLOOKUP(ROWS(AJ$2:AJ148),$AG$2:$AI$151,2,FALSE),"")</f>
        <v/>
      </c>
      <c r="AK148" s="8" t="str">
        <f>IFERROR(VLOOKUP(ROWS($AJ$2:AJ148),$AG$2:$AI$151,3,FALSE),"")</f>
        <v/>
      </c>
      <c r="AM148" s="7">
        <f>IF(ISNUMBER(SEARCH(#REF!,AN148)),MAX($AM$1:AM147)+1,0)</f>
        <v>0</v>
      </c>
      <c r="AN148" s="7" t="e">
        <f>#REF!</f>
        <v>#REF!</v>
      </c>
      <c r="AO148" s="7" t="e">
        <f>#REF!</f>
        <v>#REF!</v>
      </c>
      <c r="AP148" s="8" t="str">
        <f>IFERROR(VLOOKUP(ROWS($AP$2:AP148),$AM$2:$AO$151,2,FALSE),"")</f>
        <v/>
      </c>
      <c r="AQ148" s="8" t="str">
        <f>IFERROR(VLOOKUP(ROWS($AP$2:AP148),$AM$2:$AO$151,3,FALSE),"")</f>
        <v/>
      </c>
      <c r="AS148" s="9">
        <f>IF(ISNUMBER(SEARCH(#REF!,AT148)),MAX($AS$1:AS147)+1,0)</f>
        <v>0</v>
      </c>
      <c r="AT148" s="9" t="e">
        <f>#REF!</f>
        <v>#REF!</v>
      </c>
      <c r="AU148" s="9" t="e">
        <f>#REF!</f>
        <v>#REF!</v>
      </c>
      <c r="AV148" s="10" t="str">
        <f>IFERROR(VLOOKUP(ROWS(AV$2:AV148),$AS$2:$AU$151,2,FALSE),"")</f>
        <v/>
      </c>
      <c r="AW148" s="10" t="str">
        <f>IFERROR(VLOOKUP(ROWS($AV$2:AV148),$AS$2:$AU$151,3,FALSE),"")</f>
        <v/>
      </c>
      <c r="AY148" s="9">
        <f>IF(ISNUMBER(SEARCH(#REF!,AZ148)),MAX($AY$1:AY147)+1,0)</f>
        <v>0</v>
      </c>
      <c r="AZ148" s="9" t="e">
        <f>#REF!</f>
        <v>#REF!</v>
      </c>
      <c r="BA148" s="9" t="e">
        <f>#REF!</f>
        <v>#REF!</v>
      </c>
      <c r="BB148" s="10" t="str">
        <f>IFERROR(VLOOKUP(ROWS($BB$2:BB148),$AY$2:$BA$151,2,FALSE),"")</f>
        <v/>
      </c>
      <c r="BC148" s="10" t="str">
        <f>IFERROR(VLOOKUP(ROWS($BB$2:BB148),$AY$2:$BA$151,3,FALSE),"")</f>
        <v/>
      </c>
    </row>
    <row r="149" spans="3:55" x14ac:dyDescent="0.25">
      <c r="C149" s="3">
        <f>IF(ISNUMBER(SEARCH(#REF!,D149)),MAX($C$1:C148)+1,0)</f>
        <v>0</v>
      </c>
      <c r="D149" s="3" t="e">
        <f>#REF!</f>
        <v>#REF!</v>
      </c>
      <c r="E149" s="3" t="e">
        <f>#REF!</f>
        <v>#REF!</v>
      </c>
      <c r="F149" s="4" t="str">
        <f>IFERROR(VLOOKUP(ROWS($F$2:F149),$C$2:$E$151,2,FALSE),"")</f>
        <v/>
      </c>
      <c r="G149" s="4" t="str">
        <f>IFERROR(VLOOKUP(ROWS($F$2:F149),$C$2:$E$151,3,FALSE),"")</f>
        <v/>
      </c>
      <c r="I149" s="3">
        <f>IF(ISNUMBER(SEARCH(#REF!,J149)),MAX($I$1:I148)+1,0)</f>
        <v>0</v>
      </c>
      <c r="J149" s="3" t="e">
        <f>#REF!</f>
        <v>#REF!</v>
      </c>
      <c r="K149" s="3" t="e">
        <f>#REF!</f>
        <v>#REF!</v>
      </c>
      <c r="L149" s="4" t="str">
        <f>IFERROR(VLOOKUP(ROWS($L$2:L149),$I$2:$K$151,2,FALSE),"")</f>
        <v/>
      </c>
      <c r="M149" s="4" t="str">
        <f>IFERROR(VLOOKUP(ROWS($L$2:L149),$I$2:$K$151,3,FALSE),"")</f>
        <v/>
      </c>
      <c r="O149" s="3">
        <f>IF(ISNUMBER(SEARCH(#REF!,P149)),MAX($O$1:O148)+1,0)</f>
        <v>0</v>
      </c>
      <c r="P149" s="3" t="e">
        <f>#REF!</f>
        <v>#REF!</v>
      </c>
      <c r="Q149" s="3" t="e">
        <f>#REF!</f>
        <v>#REF!</v>
      </c>
      <c r="R149" s="4" t="str">
        <f>IFERROR(VLOOKUP(ROWS($R$2:R149),$O$2:$Q$151,2,FALSE),"")</f>
        <v/>
      </c>
      <c r="S149" s="4" t="str">
        <f>IFERROR(VLOOKUP(ROWS($R$2:R149),$O$2:$Q$151,3,FALSE),"")</f>
        <v/>
      </c>
      <c r="U149" s="5">
        <f>IF(ISNUMBER(SEARCH(#REF!,V149)),MAX($U$1:U148)+1,0)</f>
        <v>0</v>
      </c>
      <c r="V149" s="5" t="e">
        <f>#REF!</f>
        <v>#REF!</v>
      </c>
      <c r="W149" s="5" t="e">
        <f>#REF!</f>
        <v>#REF!</v>
      </c>
      <c r="X149" s="6" t="str">
        <f>IFERROR(VLOOKUP(ROWS($X$2:X149),$U$2:$W$151,2,FALSE),"")</f>
        <v/>
      </c>
      <c r="Y149" s="6" t="str">
        <f>IFERROR(VLOOKUP(ROWS($X$2:X149),$U$2:$W$151,3,FALSE),"")</f>
        <v/>
      </c>
      <c r="AA149" s="5">
        <f>IF(ISNUMBER(SEARCH(#REF!,AB149)),MAX($AA$1:AA148)+1,0)</f>
        <v>0</v>
      </c>
      <c r="AB149" s="5" t="e">
        <f>#REF!</f>
        <v>#REF!</v>
      </c>
      <c r="AC149" s="5" t="e">
        <f>#REF!</f>
        <v>#REF!</v>
      </c>
      <c r="AD149" s="6" t="str">
        <f>IFERROR(VLOOKUP(ROWS($AD$2:AD149),$AA$2:$AC$151,2,FALSE),"")</f>
        <v/>
      </c>
      <c r="AE149" s="6" t="str">
        <f>IFERROR(VLOOKUP(ROWS($AD$2:AD149),$AA$2:$AC$151,3,FALSE),"")</f>
        <v/>
      </c>
      <c r="AG149" s="7">
        <f>IF(ISNUMBER(SEARCH(#REF!,AH149)),MAX($AG$1:AG148)+1,0)</f>
        <v>0</v>
      </c>
      <c r="AH149" s="7" t="e">
        <f>#REF!</f>
        <v>#REF!</v>
      </c>
      <c r="AI149" s="7" t="e">
        <f>#REF!</f>
        <v>#REF!</v>
      </c>
      <c r="AJ149" s="8" t="str">
        <f>IFERROR(VLOOKUP(ROWS(AJ$2:AJ149),$AG$2:$AI$151,2,FALSE),"")</f>
        <v/>
      </c>
      <c r="AK149" s="8" t="str">
        <f>IFERROR(VLOOKUP(ROWS($AJ$2:AJ149),$AG$2:$AI$151,3,FALSE),"")</f>
        <v/>
      </c>
      <c r="AM149" s="7">
        <f>IF(ISNUMBER(SEARCH(#REF!,AN149)),MAX($AM$1:AM148)+1,0)</f>
        <v>0</v>
      </c>
      <c r="AN149" s="7" t="e">
        <f>#REF!</f>
        <v>#REF!</v>
      </c>
      <c r="AO149" s="7" t="e">
        <f>#REF!</f>
        <v>#REF!</v>
      </c>
      <c r="AP149" s="8" t="str">
        <f>IFERROR(VLOOKUP(ROWS($AP$2:AP149),$AM$2:$AO$151,2,FALSE),"")</f>
        <v/>
      </c>
      <c r="AQ149" s="8" t="str">
        <f>IFERROR(VLOOKUP(ROWS($AP$2:AP149),$AM$2:$AO$151,3,FALSE),"")</f>
        <v/>
      </c>
      <c r="AS149" s="9">
        <f>IF(ISNUMBER(SEARCH(#REF!,AT149)),MAX($AS$1:AS148)+1,0)</f>
        <v>0</v>
      </c>
      <c r="AT149" s="9" t="e">
        <f>#REF!</f>
        <v>#REF!</v>
      </c>
      <c r="AU149" s="9" t="e">
        <f>#REF!</f>
        <v>#REF!</v>
      </c>
      <c r="AV149" s="10" t="str">
        <f>IFERROR(VLOOKUP(ROWS(AV$2:AV149),$AS$2:$AU$151,2,FALSE),"")</f>
        <v/>
      </c>
      <c r="AW149" s="10" t="str">
        <f>IFERROR(VLOOKUP(ROWS($AV$2:AV149),$AS$2:$AU$151,3,FALSE),"")</f>
        <v/>
      </c>
      <c r="AY149" s="9">
        <f>IF(ISNUMBER(SEARCH(#REF!,AZ149)),MAX($AY$1:AY148)+1,0)</f>
        <v>0</v>
      </c>
      <c r="AZ149" s="9" t="e">
        <f>#REF!</f>
        <v>#REF!</v>
      </c>
      <c r="BA149" s="9" t="e">
        <f>#REF!</f>
        <v>#REF!</v>
      </c>
      <c r="BB149" s="10" t="str">
        <f>IFERROR(VLOOKUP(ROWS($BB$2:BB149),$AY$2:$BA$151,2,FALSE),"")</f>
        <v/>
      </c>
      <c r="BC149" s="10" t="str">
        <f>IFERROR(VLOOKUP(ROWS($BB$2:BB149),$AY$2:$BA$151,3,FALSE),"")</f>
        <v/>
      </c>
    </row>
    <row r="150" spans="3:55" x14ac:dyDescent="0.25">
      <c r="C150" s="3">
        <f>IF(ISNUMBER(SEARCH(#REF!,D150)),MAX($C$1:C149)+1,0)</f>
        <v>0</v>
      </c>
      <c r="D150" s="3" t="e">
        <f>#REF!</f>
        <v>#REF!</v>
      </c>
      <c r="E150" s="3" t="e">
        <f>#REF!</f>
        <v>#REF!</v>
      </c>
      <c r="F150" s="4" t="str">
        <f>IFERROR(VLOOKUP(ROWS($F$2:F150),$C$2:$E$151,2,FALSE),"")</f>
        <v/>
      </c>
      <c r="G150" s="4" t="str">
        <f>IFERROR(VLOOKUP(ROWS($F$2:F150),$C$2:$E$151,3,FALSE),"")</f>
        <v/>
      </c>
      <c r="I150" s="3">
        <f>IF(ISNUMBER(SEARCH(#REF!,J150)),MAX($I$1:I149)+1,0)</f>
        <v>0</v>
      </c>
      <c r="J150" s="3" t="e">
        <f>#REF!</f>
        <v>#REF!</v>
      </c>
      <c r="K150" s="3" t="e">
        <f>#REF!</f>
        <v>#REF!</v>
      </c>
      <c r="L150" s="4" t="str">
        <f>IFERROR(VLOOKUP(ROWS($L$2:L150),$I$2:$K$151,2,FALSE),"")</f>
        <v/>
      </c>
      <c r="M150" s="4" t="str">
        <f>IFERROR(VLOOKUP(ROWS($L$2:L150),$I$2:$K$151,3,FALSE),"")</f>
        <v/>
      </c>
      <c r="O150" s="3">
        <f>IF(ISNUMBER(SEARCH(#REF!,P150)),MAX($O$1:O149)+1,0)</f>
        <v>0</v>
      </c>
      <c r="P150" s="3" t="e">
        <f>#REF!</f>
        <v>#REF!</v>
      </c>
      <c r="Q150" s="3" t="e">
        <f>#REF!</f>
        <v>#REF!</v>
      </c>
      <c r="R150" s="4" t="str">
        <f>IFERROR(VLOOKUP(ROWS($R$2:R150),$O$2:$Q$151,2,FALSE),"")</f>
        <v/>
      </c>
      <c r="S150" s="4" t="str">
        <f>IFERROR(VLOOKUP(ROWS($R$2:R150),$O$2:$Q$151,3,FALSE),"")</f>
        <v/>
      </c>
      <c r="U150" s="5">
        <f>IF(ISNUMBER(SEARCH(#REF!,V150)),MAX($U$1:U149)+1,0)</f>
        <v>0</v>
      </c>
      <c r="V150" s="5" t="e">
        <f>#REF!</f>
        <v>#REF!</v>
      </c>
      <c r="W150" s="5" t="e">
        <f>#REF!</f>
        <v>#REF!</v>
      </c>
      <c r="X150" s="6" t="str">
        <f>IFERROR(VLOOKUP(ROWS($X$2:X150),$U$2:$W$151,2,FALSE),"")</f>
        <v/>
      </c>
      <c r="Y150" s="6" t="str">
        <f>IFERROR(VLOOKUP(ROWS($X$2:X150),$U$2:$W$151,3,FALSE),"")</f>
        <v/>
      </c>
      <c r="AA150" s="5">
        <f>IF(ISNUMBER(SEARCH(#REF!,AB150)),MAX($AA$1:AA149)+1,0)</f>
        <v>0</v>
      </c>
      <c r="AB150" s="5" t="e">
        <f>#REF!</f>
        <v>#REF!</v>
      </c>
      <c r="AC150" s="5" t="e">
        <f>#REF!</f>
        <v>#REF!</v>
      </c>
      <c r="AD150" s="6" t="str">
        <f>IFERROR(VLOOKUP(ROWS($AD$2:AD150),$AA$2:$AC$151,2,FALSE),"")</f>
        <v/>
      </c>
      <c r="AE150" s="6" t="str">
        <f>IFERROR(VLOOKUP(ROWS($AD$2:AD150),$AA$2:$AC$151,3,FALSE),"")</f>
        <v/>
      </c>
      <c r="AG150" s="7">
        <f>IF(ISNUMBER(SEARCH(#REF!,AH150)),MAX($AG$1:AG149)+1,0)</f>
        <v>0</v>
      </c>
      <c r="AH150" s="7" t="e">
        <f>#REF!</f>
        <v>#REF!</v>
      </c>
      <c r="AI150" s="7" t="e">
        <f>#REF!</f>
        <v>#REF!</v>
      </c>
      <c r="AJ150" s="8" t="str">
        <f>IFERROR(VLOOKUP(ROWS(AJ$2:AJ150),$AG$2:$AI$151,2,FALSE),"")</f>
        <v/>
      </c>
      <c r="AK150" s="8" t="str">
        <f>IFERROR(VLOOKUP(ROWS($AJ$2:AJ150),$AG$2:$AI$151,3,FALSE),"")</f>
        <v/>
      </c>
      <c r="AM150" s="7">
        <f>IF(ISNUMBER(SEARCH(#REF!,AN150)),MAX($AM$1:AM149)+1,0)</f>
        <v>0</v>
      </c>
      <c r="AN150" s="7" t="e">
        <f>#REF!</f>
        <v>#REF!</v>
      </c>
      <c r="AO150" s="7" t="e">
        <f>#REF!</f>
        <v>#REF!</v>
      </c>
      <c r="AP150" s="8" t="str">
        <f>IFERROR(VLOOKUP(ROWS($AP$2:AP150),$AM$2:$AO$151,2,FALSE),"")</f>
        <v/>
      </c>
      <c r="AQ150" s="8" t="str">
        <f>IFERROR(VLOOKUP(ROWS($AP$2:AP150),$AM$2:$AO$151,3,FALSE),"")</f>
        <v/>
      </c>
      <c r="AS150" s="9">
        <f>IF(ISNUMBER(SEARCH(#REF!,AT150)),MAX($AS$1:AS149)+1,0)</f>
        <v>0</v>
      </c>
      <c r="AT150" s="9" t="e">
        <f>#REF!</f>
        <v>#REF!</v>
      </c>
      <c r="AU150" s="9" t="e">
        <f>#REF!</f>
        <v>#REF!</v>
      </c>
      <c r="AV150" s="10" t="str">
        <f>IFERROR(VLOOKUP(ROWS(AV$2:AV150),$AS$2:$AU$151,2,FALSE),"")</f>
        <v/>
      </c>
      <c r="AW150" s="10" t="str">
        <f>IFERROR(VLOOKUP(ROWS($AV$2:AV150),$AS$2:$AU$151,3,FALSE),"")</f>
        <v/>
      </c>
      <c r="AY150" s="9">
        <f>IF(ISNUMBER(SEARCH(#REF!,AZ150)),MAX($AY$1:AY149)+1,0)</f>
        <v>0</v>
      </c>
      <c r="AZ150" s="9" t="e">
        <f>#REF!</f>
        <v>#REF!</v>
      </c>
      <c r="BA150" s="9" t="e">
        <f>#REF!</f>
        <v>#REF!</v>
      </c>
      <c r="BB150" s="10" t="str">
        <f>IFERROR(VLOOKUP(ROWS($BB$2:BB150),$AY$2:$BA$151,2,FALSE),"")</f>
        <v/>
      </c>
      <c r="BC150" s="10" t="str">
        <f>IFERROR(VLOOKUP(ROWS($BB$2:BB150),$AY$2:$BA$151,3,FALSE),"")</f>
        <v/>
      </c>
    </row>
    <row r="151" spans="3:55" x14ac:dyDescent="0.25">
      <c r="C151" s="3">
        <f>IF(ISNUMBER(SEARCH(#REF!,D151)),MAX($C$1:C150)+1,0)</f>
        <v>0</v>
      </c>
      <c r="D151" s="3" t="e">
        <f>#REF!</f>
        <v>#REF!</v>
      </c>
      <c r="E151" s="3" t="e">
        <f>#REF!</f>
        <v>#REF!</v>
      </c>
      <c r="F151" s="4" t="str">
        <f>IFERROR(VLOOKUP(ROWS($F$2:F151),$C$2:$E$151,2,FALSE),"")</f>
        <v/>
      </c>
      <c r="G151" s="4" t="str">
        <f>IFERROR(VLOOKUP(ROWS($F$2:F151),$C$2:$E$151,3,FALSE),"")</f>
        <v/>
      </c>
      <c r="I151" s="3">
        <f>IF(ISNUMBER(SEARCH(#REF!,J151)),MAX($I$1:I150)+1,0)</f>
        <v>0</v>
      </c>
      <c r="J151" s="3" t="e">
        <f>#REF!</f>
        <v>#REF!</v>
      </c>
      <c r="K151" s="3" t="e">
        <f>#REF!</f>
        <v>#REF!</v>
      </c>
      <c r="L151" s="4" t="str">
        <f>IFERROR(VLOOKUP(ROWS($L$2:L151),$I$2:$K$151,2,FALSE),"")</f>
        <v/>
      </c>
      <c r="M151" s="4" t="str">
        <f>IFERROR(VLOOKUP(ROWS($L$2:L151),$I$2:$K$151,3,FALSE),"")</f>
        <v/>
      </c>
      <c r="O151" s="3">
        <f>IF(ISNUMBER(SEARCH(#REF!,P151)),MAX($O$1:O150)+1,0)</f>
        <v>0</v>
      </c>
      <c r="P151" s="3" t="e">
        <f>#REF!</f>
        <v>#REF!</v>
      </c>
      <c r="Q151" s="3" t="e">
        <f>#REF!</f>
        <v>#REF!</v>
      </c>
      <c r="R151" s="4" t="str">
        <f>IFERROR(VLOOKUP(ROWS($R$2:R151),$O$2:$Q$151,2,FALSE),"")</f>
        <v/>
      </c>
      <c r="S151" s="4" t="str">
        <f>IFERROR(VLOOKUP(ROWS($R$2:R151),$O$2:$Q$151,3,FALSE),"")</f>
        <v/>
      </c>
      <c r="U151" s="5">
        <f>IF(ISNUMBER(SEARCH(#REF!,V151)),MAX($U$1:U150)+1,0)</f>
        <v>0</v>
      </c>
      <c r="V151" s="5" t="e">
        <f>#REF!</f>
        <v>#REF!</v>
      </c>
      <c r="W151" s="5" t="e">
        <f>#REF!</f>
        <v>#REF!</v>
      </c>
      <c r="X151" s="6" t="str">
        <f>IFERROR(VLOOKUP(ROWS($X$2:X151),$U$2:$W$151,2,FALSE),"")</f>
        <v/>
      </c>
      <c r="Y151" s="6" t="str">
        <f>IFERROR(VLOOKUP(ROWS($X$2:X151),$U$2:$W$151,3,FALSE),"")</f>
        <v/>
      </c>
      <c r="AA151" s="5">
        <f>IF(ISNUMBER(SEARCH(#REF!,AB151)),MAX($AA$1:AA150)+1,0)</f>
        <v>0</v>
      </c>
      <c r="AB151" s="5" t="e">
        <f>#REF!</f>
        <v>#REF!</v>
      </c>
      <c r="AC151" s="5" t="e">
        <f>#REF!</f>
        <v>#REF!</v>
      </c>
      <c r="AD151" s="6" t="str">
        <f>IFERROR(VLOOKUP(ROWS($AD$2:AD151),$AA$2:$AC$151,2,FALSE),"")</f>
        <v/>
      </c>
      <c r="AE151" s="6" t="str">
        <f>IFERROR(VLOOKUP(ROWS($AD$2:AD151),$AA$2:$AC$151,3,FALSE),"")</f>
        <v/>
      </c>
      <c r="AG151" s="7">
        <f>IF(ISNUMBER(SEARCH(#REF!,AH151)),MAX($AG$1:AG150)+1,0)</f>
        <v>0</v>
      </c>
      <c r="AH151" s="7" t="e">
        <f>#REF!</f>
        <v>#REF!</v>
      </c>
      <c r="AI151" s="7" t="e">
        <f>#REF!</f>
        <v>#REF!</v>
      </c>
      <c r="AJ151" s="8" t="str">
        <f>IFERROR(VLOOKUP(ROWS(AJ$2:AJ151),$AG$2:$AI$151,2,FALSE),"")</f>
        <v/>
      </c>
      <c r="AK151" s="8" t="str">
        <f>IFERROR(VLOOKUP(ROWS($AJ$2:AJ151),$AG$2:$AI$151,3,FALSE),"")</f>
        <v/>
      </c>
      <c r="AM151" s="7">
        <f>IF(ISNUMBER(SEARCH(#REF!,AN151)),MAX($AM$1:AM150)+1,0)</f>
        <v>0</v>
      </c>
      <c r="AN151" s="7" t="e">
        <f>#REF!</f>
        <v>#REF!</v>
      </c>
      <c r="AO151" s="7" t="e">
        <f>#REF!</f>
        <v>#REF!</v>
      </c>
      <c r="AP151" s="8" t="str">
        <f>IFERROR(VLOOKUP(ROWS($AP$2:AP151),$AM$2:$AO$151,2,FALSE),"")</f>
        <v/>
      </c>
      <c r="AQ151" s="8" t="str">
        <f>IFERROR(VLOOKUP(ROWS($AP$2:AP151),$AM$2:$AO$151,3,FALSE),"")</f>
        <v/>
      </c>
      <c r="AS151" s="9">
        <f>IF(ISNUMBER(SEARCH(#REF!,AT151)),MAX($AS$1:AS150)+1,0)</f>
        <v>0</v>
      </c>
      <c r="AT151" s="9" t="e">
        <f>#REF!</f>
        <v>#REF!</v>
      </c>
      <c r="AU151" s="9" t="e">
        <f>#REF!</f>
        <v>#REF!</v>
      </c>
      <c r="AV151" s="10" t="str">
        <f>IFERROR(VLOOKUP(ROWS(AV$2:AV151),$AS$2:$AU$151,2,FALSE),"")</f>
        <v/>
      </c>
      <c r="AW151" s="10" t="str">
        <f>IFERROR(VLOOKUP(ROWS($AV$2:AV151),$AS$2:$AU$151,3,FALSE),"")</f>
        <v/>
      </c>
      <c r="AY151" s="9">
        <f>IF(ISNUMBER(SEARCH(#REF!,AZ151)),MAX($AY$1:AY150)+1,0)</f>
        <v>0</v>
      </c>
      <c r="AZ151" s="9" t="e">
        <f>#REF!</f>
        <v>#REF!</v>
      </c>
      <c r="BA151" s="9" t="e">
        <f>#REF!</f>
        <v>#REF!</v>
      </c>
      <c r="BB151" s="10" t="str">
        <f>IFERROR(VLOOKUP(ROWS($BB$2:BB151),$AY$2:$BA$151,2,FALSE),"")</f>
        <v/>
      </c>
      <c r="BC151" s="10" t="str">
        <f>IFERROR(VLOOKUP(ROWS($BB$2:BB151),$AY$2:$BA$151,3,FALSE),"")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 xmlns="81257469-2324-478b-b6df-cef131091caf" xsi:nil="true"/>
    <PublishingExpirationDate xmlns="http://schemas.microsoft.com/sharepoint/v3" xsi:nil="true"/>
    <TaxCatchAll xmlns="0ab1efbf-0604-4f0b-9b8c-8adcaa1440c3" xsi:nil="true"/>
    <PublishingStartDate xmlns="http://schemas.microsoft.com/sharepoint/v3" xsi:nil="true"/>
    <lcf76f155ced4ddcb4097134ff3c332f xmlns="81257469-2324-478b-b6df-cef131091caf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E66D4C0D7BE694EA308BA2DB6DF4CDB" ma:contentTypeVersion="18" ma:contentTypeDescription="Create a new document." ma:contentTypeScope="" ma:versionID="c84080183264f5658752c2eb1f768924">
  <xsd:schema xmlns:xsd="http://www.w3.org/2001/XMLSchema" xmlns:xs="http://www.w3.org/2001/XMLSchema" xmlns:p="http://schemas.microsoft.com/office/2006/metadata/properties" xmlns:ns1="http://schemas.microsoft.com/sharepoint/v3" xmlns:ns2="81257469-2324-478b-b6df-cef131091caf" xmlns:ns3="0ab1efbf-0604-4f0b-9b8c-8adcaa1440c3" targetNamespace="http://schemas.microsoft.com/office/2006/metadata/properties" ma:root="true" ma:fieldsID="c060a4d7902cdf24a862f99dea27755c" ns1:_="" ns2:_="" ns3:_="">
    <xsd:import namespace="http://schemas.microsoft.com/sharepoint/v3"/>
    <xsd:import namespace="81257469-2324-478b-b6df-cef131091caf"/>
    <xsd:import namespace="0ab1efbf-0604-4f0b-9b8c-8adcaa1440c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1:PublishingStartDate" minOccurs="0"/>
                <xsd:element ref="ns1:PublishingExpirationDate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2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13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257469-2324-478b-b6df-cef131091c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b65a0eb4-24c2-491f-9ef5-4f04e756b7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Data" ma:index="24" nillable="true" ma:displayName="Data" ma:format="DateOnly" ma:indexed="true" ma:internalName="Data">
      <xsd:simpleType>
        <xsd:restriction base="dms:DateTim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b1efbf-0604-4f0b-9b8c-8adcaa1440c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184381d9-d604-41a5-8cf9-549b40ee142b}" ma:internalName="TaxCatchAll" ma:showField="CatchAllData" ma:web="0ab1efbf-0604-4f0b-9b8c-8adcaa1440c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F64398-B317-4240-804F-9A519358AD6E}">
  <ds:schemaRefs>
    <ds:schemaRef ds:uri="http://schemas.microsoft.com/office/2006/metadata/properties"/>
    <ds:schemaRef ds:uri="http://schemas.microsoft.com/office/infopath/2007/PartnerControls"/>
    <ds:schemaRef ds:uri="81257469-2324-478b-b6df-cef131091caf"/>
    <ds:schemaRef ds:uri="http://schemas.microsoft.com/sharepoint/v3"/>
    <ds:schemaRef ds:uri="0ab1efbf-0604-4f0b-9b8c-8adcaa1440c3"/>
  </ds:schemaRefs>
</ds:datastoreItem>
</file>

<file path=customXml/itemProps2.xml><?xml version="1.0" encoding="utf-8"?>
<ds:datastoreItem xmlns:ds="http://schemas.openxmlformats.org/officeDocument/2006/customXml" ds:itemID="{133856FA-2FEF-4F73-9CD4-5D67D81BA8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DB0DA56-C33B-4B26-BEDA-25B81581F1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1257469-2324-478b-b6df-cef131091caf"/>
    <ds:schemaRef ds:uri="0ab1efbf-0604-4f0b-9b8c-8adcaa1440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18</vt:i4>
      </vt:variant>
    </vt:vector>
  </HeadingPairs>
  <TitlesOfParts>
    <vt:vector size="26" baseType="lpstr">
      <vt:lpstr>Guide</vt:lpstr>
      <vt:lpstr>Dashboard</vt:lpstr>
      <vt:lpstr>Risks</vt:lpstr>
      <vt:lpstr>Actions</vt:lpstr>
      <vt:lpstr>Issues</vt:lpstr>
      <vt:lpstr>Decisions</vt:lpstr>
      <vt:lpstr>Config</vt:lpstr>
      <vt:lpstr>Search</vt:lpstr>
      <vt:lpstr>Action_D</vt:lpstr>
      <vt:lpstr>Action_D_ID</vt:lpstr>
      <vt:lpstr>Action_I</vt:lpstr>
      <vt:lpstr>Action_I_ID</vt:lpstr>
      <vt:lpstr>Decision_A</vt:lpstr>
      <vt:lpstr>Decision_A_ID</vt:lpstr>
      <vt:lpstr>Decision_I</vt:lpstr>
      <vt:lpstr>Decision_I_ID</vt:lpstr>
      <vt:lpstr>Issue_A</vt:lpstr>
      <vt:lpstr>Issue_A_ID</vt:lpstr>
      <vt:lpstr>Issue_D</vt:lpstr>
      <vt:lpstr>Issue_D_ID</vt:lpstr>
      <vt:lpstr>Risk_A</vt:lpstr>
      <vt:lpstr>Risk_A_ID</vt:lpstr>
      <vt:lpstr>Risk_D</vt:lpstr>
      <vt:lpstr>Risk_D_ID</vt:lpstr>
      <vt:lpstr>Risk_I</vt:lpstr>
      <vt:lpstr>Risk_I_ID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Excel-Liste</dc:title>
  <dc:creator>d031631</dc:creator>
  <cp:lastModifiedBy>Rodrigo Lopes Salvatte</cp:lastModifiedBy>
  <cp:lastPrinted>2008-04-17T08:36:37Z</cp:lastPrinted>
  <dcterms:created xsi:type="dcterms:W3CDTF">2003-10-09T12:55:09Z</dcterms:created>
  <dcterms:modified xsi:type="dcterms:W3CDTF">2026-05-27T11:03:54Z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0x010100AE66D4C0D7BE694EA308BA2DB6DF4CDB</vt:lpwstr>
  </property>
  <property fmtid="{D5CDD505-2E9C-101B-9397-08002B2CF9AE}" pid="4" name="MediaServiceImageTags">
    <vt:lpwstr/>
  </property>
</Properties>
</file>